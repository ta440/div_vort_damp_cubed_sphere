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and/Documents/Paper_5_div_damping_cubed_sphere/"/>
    </mc:Choice>
  </mc:AlternateContent>
  <xr:revisionPtr revIDLastSave="0" documentId="13_ncr:1_{914D0FB8-AF24-E440-A51D-9A59007F3D19}" xr6:coauthVersionLast="47" xr6:coauthVersionMax="47" xr10:uidLastSave="{00000000-0000-0000-0000-000000000000}"/>
  <bookViews>
    <workbookView xWindow="0" yWindow="840" windowWidth="30240" windowHeight="17180" activeTab="2" xr2:uid="{CD137E1F-742C-4849-BD32-C2FFE37F850A}"/>
  </bookViews>
  <sheets>
    <sheet name="JW06_baroclinic_wave" sheetId="1" r:id="rId1"/>
    <sheet name="Mountain Rossby waves" sheetId="3" r:id="rId2"/>
    <sheet name="modons" sheetId="4" r:id="rId3"/>
    <sheet name="acid test" sheetId="5" r:id="rId4"/>
    <sheet name="DCMIP2016 baroclinic wave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1" l="1"/>
  <c r="U6" i="1"/>
  <c r="U11" i="1"/>
  <c r="U12" i="1"/>
  <c r="U16" i="1"/>
  <c r="U17" i="1"/>
  <c r="U24" i="1"/>
  <c r="U25" i="1"/>
  <c r="U28" i="1"/>
  <c r="U29" i="1"/>
  <c r="U34" i="1"/>
  <c r="U35" i="1"/>
  <c r="U38" i="1"/>
  <c r="U39" i="1"/>
  <c r="U42" i="1"/>
  <c r="U43" i="1"/>
  <c r="U50" i="1"/>
  <c r="U51" i="1"/>
  <c r="U54" i="1"/>
  <c r="U55" i="1"/>
  <c r="T6" i="1"/>
  <c r="T11" i="1"/>
  <c r="T12" i="1"/>
  <c r="T16" i="1"/>
  <c r="T17" i="1"/>
  <c r="T24" i="1"/>
  <c r="T25" i="1"/>
  <c r="T28" i="1"/>
  <c r="T29" i="1"/>
  <c r="T34" i="1"/>
  <c r="T35" i="1"/>
  <c r="T38" i="1"/>
  <c r="T39" i="1"/>
  <c r="T42" i="1"/>
  <c r="T43" i="1"/>
  <c r="T50" i="1"/>
  <c r="T51" i="1"/>
  <c r="T54" i="1"/>
  <c r="T55" i="1"/>
  <c r="T5" i="1"/>
  <c r="J5" i="1"/>
  <c r="J6" i="1"/>
  <c r="J7" i="1"/>
  <c r="J11" i="1"/>
  <c r="J12" i="1"/>
  <c r="J13" i="1"/>
  <c r="J14" i="1"/>
  <c r="J17" i="1"/>
  <c r="J18" i="1"/>
  <c r="J19" i="1"/>
  <c r="J20" i="1"/>
  <c r="J23" i="1"/>
  <c r="J24" i="1"/>
  <c r="J25" i="1"/>
  <c r="J26" i="1"/>
  <c r="J29" i="1"/>
  <c r="J30" i="1"/>
  <c r="J31" i="1"/>
  <c r="J32" i="1"/>
  <c r="I11" i="1"/>
  <c r="I12" i="1"/>
  <c r="I13" i="1"/>
  <c r="I14" i="1"/>
  <c r="I17" i="1"/>
  <c r="I18" i="1"/>
  <c r="I19" i="1"/>
  <c r="I20" i="1"/>
  <c r="I23" i="1"/>
  <c r="I24" i="1"/>
  <c r="I25" i="1"/>
  <c r="I26" i="1"/>
  <c r="I29" i="1"/>
  <c r="I30" i="1"/>
  <c r="I31" i="1"/>
  <c r="I32" i="1"/>
  <c r="I36" i="1"/>
  <c r="I37" i="1"/>
  <c r="I38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5" i="1"/>
  <c r="I6" i="1"/>
  <c r="I7" i="1"/>
  <c r="J4" i="1"/>
  <c r="I4" i="1"/>
  <c r="J80" i="1"/>
  <c r="J81" i="1"/>
  <c r="J82" i="1"/>
  <c r="J79" i="1"/>
  <c r="J36" i="1"/>
  <c r="J37" i="1"/>
  <c r="J38" i="1"/>
  <c r="J64" i="1"/>
  <c r="J65" i="1"/>
  <c r="J66" i="1"/>
</calcChain>
</file>

<file path=xl/sharedStrings.xml><?xml version="1.0" encoding="utf-8"?>
<sst xmlns="http://schemas.openxmlformats.org/spreadsheetml/2006/main" count="255" uniqueCount="83">
  <si>
    <t>Equiangular</t>
  </si>
  <si>
    <t>Equi-edge</t>
  </si>
  <si>
    <t>2nd order</t>
  </si>
  <si>
    <t>4th order</t>
  </si>
  <si>
    <t>6th order</t>
  </si>
  <si>
    <t>8th order</t>
  </si>
  <si>
    <t>Divergence damp limit</t>
  </si>
  <si>
    <t>Finding to nearest 3 d.p.</t>
  </si>
  <si>
    <t>Simulated</t>
  </si>
  <si>
    <t>Theoretical:</t>
  </si>
  <si>
    <t>DEFAULT CAM TRANSPORT, C96, 15 days.</t>
  </si>
  <si>
    <t>Virtually inviscid setting, C96, 15 days</t>
  </si>
  <si>
    <t>2nd + 4th</t>
  </si>
  <si>
    <t>2nd + 6th</t>
  </si>
  <si>
    <t>2nd + 8th</t>
  </si>
  <si>
    <t>dddmp = 0.5 and 4th</t>
  </si>
  <si>
    <t>dddmp = 0.5 and 6th</t>
  </si>
  <si>
    <t>dddmp = 0.5 and 8th</t>
  </si>
  <si>
    <t>Set dddmp and see largest stable d4_bg</t>
  </si>
  <si>
    <t>Vorticity damping</t>
  </si>
  <si>
    <t>2nd order div damp = 4th order vort damp</t>
  </si>
  <si>
    <t>4th order = 4th order vort damp</t>
  </si>
  <si>
    <t>6th order = 6th order vort damp</t>
  </si>
  <si>
    <t>8th order = 6th order vort damp</t>
  </si>
  <si>
    <t>Equiedge</t>
  </si>
  <si>
    <t>Virtually inviscid setting, C96, 15 days, to 3 d.p.</t>
  </si>
  <si>
    <t>DEFAULT CAM TRANSPORT (10s), C96, 15 days, to 2 d.p.</t>
  </si>
  <si>
    <t>DEFAULT CAM, C192</t>
  </si>
  <si>
    <t>Test it is relatively invariant to grid resolution</t>
  </si>
  <si>
    <t>What about a coarser resolution?</t>
  </si>
  <si>
    <t>DEFAULT TRANSPORT, C48</t>
  </si>
  <si>
    <t>round or floor??</t>
  </si>
  <si>
    <t>DEFAULT CAM TRANSPORT, C192, 15 days.</t>
  </si>
  <si>
    <t>DEFAULT CAM TRANSPORT C192, 15 days</t>
  </si>
  <si>
    <t>YAY!</t>
  </si>
  <si>
    <t>DEFAULT TRANSPORT, C384 Even finer resolution</t>
  </si>
  <si>
    <t>Virtually inviscid setting, C192, 15 days, to 3 d.p.</t>
  </si>
  <si>
    <t>NEXT:</t>
  </si>
  <si>
    <t>Using a vertical grid to 30 km with L76</t>
  </si>
  <si>
    <t>Check div damp values are around expected</t>
  </si>
  <si>
    <t>Default, combined Laplacian and hyper, C96 to 3 d.p.</t>
  </si>
  <si>
    <t>Default, combined Laplacian and hyper, C192 to 3 d.p.</t>
  </si>
  <si>
    <t>Huh…</t>
  </si>
  <si>
    <t>DEFAULT CAM TRANSPORT (10s), hord_tr=8, C96, 15 days</t>
  </si>
  <si>
    <t>Virtually inviscid setting (5s), hord_tr=-5,  C96, 15 days</t>
  </si>
  <si>
    <t>Hunyh constraint (9s) with hord_tr=8, C96</t>
  </si>
  <si>
    <t>Hunyh constraint (9s) with hord_tr=9, C96</t>
  </si>
  <si>
    <t>Intermediate monotonicty/ at 6s and 7s! Hord_tr=7, C96</t>
  </si>
  <si>
    <t>Lin monotonic: all 8s, C96</t>
  </si>
  <si>
    <t>DEFAULT CAM TRANSPORT C48, 15 days</t>
  </si>
  <si>
    <t>Hunyh constraint (9s) with hord_tr=8, C192</t>
  </si>
  <si>
    <t>Hunyh constraint (9s) with hord_tr=9, C192</t>
  </si>
  <si>
    <t>Intermediate monotonicty/ at 6s and 7s! Hord_tr=7, C192</t>
  </si>
  <si>
    <t>Lin monotonic: all 8s, C192</t>
  </si>
  <si>
    <t>6th use d4_bg=0.13</t>
  </si>
  <si>
    <t>but, what about 8th and 2nd orders here?</t>
  </si>
  <si>
    <t>BLOW-UP</t>
  </si>
  <si>
    <t>Lin monotonic, C96</t>
  </si>
  <si>
    <t>Virtually inviscid, C192</t>
  </si>
  <si>
    <t>what about vort damping?</t>
  </si>
  <si>
    <t>Smagorinsky and hyperdiffusion, default transport  C96  to 3 d.p.</t>
  </si>
  <si>
    <t>Smagorinsky and hyperdiffusion, virtually-inviscid  C96  to 3 d.p.</t>
  </si>
  <si>
    <t>Re-do with T0=288K, so this follows the mountain wave test</t>
  </si>
  <si>
    <t>in DCMIP2008</t>
  </si>
  <si>
    <t>check these are these same too.</t>
  </si>
  <si>
    <t>T0=300K</t>
  </si>
  <si>
    <t>Modon test for 100 days</t>
  </si>
  <si>
    <t>use d4_bg=0.13 for equiangular</t>
  </si>
  <si>
    <t>diff as rel %</t>
  </si>
  <si>
    <t>with d4_bg=0.10, equiangular: 0.111 (so no difference)</t>
  </si>
  <si>
    <t>Fix hyper: Use d4_bg=0.15 and see largest d2_bg</t>
  </si>
  <si>
    <t>Virt inviscid, combined Laplacian and hyper, C192 to 3 d.p.</t>
  </si>
  <si>
    <t>check that we can use more vorticity damping here.</t>
  </si>
  <si>
    <t>COMPLETE THIS!!</t>
  </si>
  <si>
    <t>Fix Laplacian: use d2_bg=0.05 and see largest d4_bg</t>
  </si>
  <si>
    <t>Remember, need d4_bg=0.13 for sixth-order. So, double check those results.</t>
  </si>
  <si>
    <t>Also, do the methods chane diffusion.</t>
  </si>
  <si>
    <t>check lin and intermediate.</t>
  </si>
  <si>
    <t>Perhaps C192 will be better here???</t>
  </si>
  <si>
    <t>ah, this is after 5 days.</t>
  </si>
  <si>
    <t>Equi-edge, 100 days</t>
  </si>
  <si>
    <t>Equi-edge, 5 days</t>
  </si>
  <si>
    <t>Equiangular, 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</si>
</sst>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3B7C5-DF48-4D49-9F2C-2DB33B0724CA}">
  <dimension ref="A1:V104"/>
  <sheetViews>
    <sheetView topLeftCell="B27" workbookViewId="0">
      <selection activeCell="I57" sqref="I57"/>
    </sheetView>
  </sheetViews>
  <sheetFormatPr baseColWidth="10" defaultRowHeight="16" x14ac:dyDescent="0.2"/>
  <cols>
    <col min="1" max="1" width="52.83203125" bestFit="1" customWidth="1"/>
    <col min="12" max="12" width="47.83203125" bestFit="1" customWidth="1"/>
    <col min="14" max="14" width="16.6640625" bestFit="1" customWidth="1"/>
    <col min="15" max="15" width="17.1640625" bestFit="1" customWidth="1"/>
  </cols>
  <sheetData>
    <row r="1" spans="1:21" x14ac:dyDescent="0.2">
      <c r="A1" t="s">
        <v>6</v>
      </c>
      <c r="B1" t="s">
        <v>8</v>
      </c>
      <c r="C1" t="s">
        <v>0</v>
      </c>
      <c r="D1" t="s">
        <v>1</v>
      </c>
      <c r="E1" t="s">
        <v>9</v>
      </c>
      <c r="F1" t="s">
        <v>0</v>
      </c>
      <c r="G1" t="s">
        <v>1</v>
      </c>
      <c r="H1" t="s">
        <v>68</v>
      </c>
      <c r="I1" t="s">
        <v>0</v>
      </c>
      <c r="J1" t="s">
        <v>24</v>
      </c>
      <c r="L1" t="s">
        <v>19</v>
      </c>
      <c r="M1" t="s">
        <v>8</v>
      </c>
      <c r="N1" t="s">
        <v>0</v>
      </c>
      <c r="O1" t="s">
        <v>1</v>
      </c>
      <c r="P1" t="s">
        <v>9</v>
      </c>
      <c r="Q1" t="s">
        <v>0</v>
      </c>
      <c r="R1" t="s">
        <v>1</v>
      </c>
      <c r="S1" t="s">
        <v>68</v>
      </c>
      <c r="T1" t="s">
        <v>0</v>
      </c>
      <c r="U1" t="s">
        <v>24</v>
      </c>
    </row>
    <row r="2" spans="1:21" x14ac:dyDescent="0.2">
      <c r="A2" t="s">
        <v>7</v>
      </c>
      <c r="N2" t="s">
        <v>54</v>
      </c>
    </row>
    <row r="3" spans="1:21" x14ac:dyDescent="0.2">
      <c r="A3" t="s">
        <v>10</v>
      </c>
      <c r="B3" s="1"/>
      <c r="C3" s="1"/>
      <c r="D3" s="1"/>
      <c r="E3" s="1"/>
      <c r="F3" s="1" t="s">
        <v>31</v>
      </c>
      <c r="G3" s="1"/>
      <c r="H3" s="1"/>
      <c r="I3" s="1"/>
      <c r="L3" t="s">
        <v>43</v>
      </c>
      <c r="M3" s="1"/>
      <c r="N3" s="1"/>
      <c r="O3" s="1"/>
      <c r="P3" s="1"/>
      <c r="Q3" s="1"/>
      <c r="R3" s="1"/>
    </row>
    <row r="4" spans="1:21" x14ac:dyDescent="0.2">
      <c r="A4" t="s">
        <v>2</v>
      </c>
      <c r="B4" s="1"/>
      <c r="C4" s="1">
        <v>0.24199999999999999</v>
      </c>
      <c r="D4" s="1">
        <v>0.29499999999999998</v>
      </c>
      <c r="E4" s="1"/>
      <c r="F4" s="1">
        <v>0.23599999999999999</v>
      </c>
      <c r="G4" s="1">
        <v>0.28899999999999998</v>
      </c>
      <c r="H4" s="1"/>
      <c r="I4" s="1">
        <f>100*(C4-F4)/F4</f>
        <v>2.5423728813559348</v>
      </c>
      <c r="J4" s="1">
        <f>100*(D4-G4)/G4</f>
        <v>2.0761245674740505</v>
      </c>
      <c r="L4" t="s">
        <v>20</v>
      </c>
      <c r="M4" s="1"/>
      <c r="N4" s="1"/>
      <c r="O4" s="1"/>
      <c r="P4" s="1"/>
      <c r="Q4" s="1">
        <v>0.16700000000000001</v>
      </c>
      <c r="R4" s="1">
        <v>0.20300000000000001</v>
      </c>
    </row>
    <row r="5" spans="1:21" x14ac:dyDescent="0.2">
      <c r="A5" t="s">
        <v>3</v>
      </c>
      <c r="B5" s="1"/>
      <c r="C5" s="1">
        <v>0.17100000000000001</v>
      </c>
      <c r="D5" s="1">
        <v>0.20599999999999999</v>
      </c>
      <c r="E5" s="1"/>
      <c r="F5" s="1">
        <v>0.16700000000000001</v>
      </c>
      <c r="G5" s="1">
        <v>0.20399999999999999</v>
      </c>
      <c r="H5" s="1"/>
      <c r="I5" s="1">
        <f t="shared" ref="I5:I38" si="0">100*(C5-F5)/F5</f>
        <v>2.3952095808383254</v>
      </c>
      <c r="J5" s="1">
        <f t="shared" ref="J5:J32" si="1">100*(D5-G5)/G5</f>
        <v>0.98039215686274606</v>
      </c>
      <c r="L5" t="s">
        <v>21</v>
      </c>
      <c r="M5" s="1"/>
      <c r="N5" s="1">
        <v>0.11</v>
      </c>
      <c r="O5" s="1">
        <v>9.9000000000000005E-2</v>
      </c>
      <c r="P5" s="1"/>
      <c r="Q5" s="1">
        <v>0.16700000000000001</v>
      </c>
      <c r="R5" s="1">
        <v>0.20300000000000001</v>
      </c>
      <c r="T5">
        <f>100*N5/Q5</f>
        <v>65.868263473053887</v>
      </c>
      <c r="U5">
        <f>100*O5/R5</f>
        <v>48.768472906403936</v>
      </c>
    </row>
    <row r="6" spans="1:21" x14ac:dyDescent="0.2">
      <c r="A6" t="s">
        <v>4</v>
      </c>
      <c r="B6" s="1"/>
      <c r="C6" s="1">
        <v>0.153</v>
      </c>
      <c r="D6" s="1">
        <v>0.184</v>
      </c>
      <c r="E6" s="1"/>
      <c r="F6" s="1">
        <v>0.14799999999999999</v>
      </c>
      <c r="G6" s="1">
        <v>0.182</v>
      </c>
      <c r="H6" s="1"/>
      <c r="I6" s="1">
        <f t="shared" si="0"/>
        <v>3.3783783783783816</v>
      </c>
      <c r="J6" s="1">
        <f t="shared" si="1"/>
        <v>1.0989010989010999</v>
      </c>
      <c r="L6" t="s">
        <v>22</v>
      </c>
      <c r="M6" s="1"/>
      <c r="N6">
        <v>0.113</v>
      </c>
      <c r="O6" s="1">
        <v>0.114</v>
      </c>
      <c r="P6" s="1"/>
      <c r="Q6" s="1">
        <v>0.14899999999999999</v>
      </c>
      <c r="R6" s="1">
        <v>0.182</v>
      </c>
      <c r="T6">
        <f t="shared" ref="T6:U55" si="2">100*N6/Q6</f>
        <v>75.838926174496649</v>
      </c>
      <c r="U6">
        <f t="shared" si="2"/>
        <v>62.637362637362642</v>
      </c>
    </row>
    <row r="7" spans="1:21" x14ac:dyDescent="0.2">
      <c r="A7" t="s">
        <v>5</v>
      </c>
      <c r="B7" s="1"/>
      <c r="C7" s="1">
        <v>0.14399999999999999</v>
      </c>
      <c r="D7" s="1">
        <v>0.17399999999999999</v>
      </c>
      <c r="E7" s="1"/>
      <c r="F7" s="1">
        <v>0.14000000000000001</v>
      </c>
      <c r="G7" s="1">
        <v>0.17199999999999999</v>
      </c>
      <c r="H7" s="1"/>
      <c r="I7" s="1">
        <f t="shared" si="0"/>
        <v>2.8571428571428394</v>
      </c>
      <c r="J7" s="1">
        <f t="shared" si="1"/>
        <v>1.1627906976744198</v>
      </c>
      <c r="L7" t="s">
        <v>23</v>
      </c>
      <c r="M7" s="1"/>
      <c r="N7" s="1"/>
      <c r="O7" s="1">
        <v>0.113</v>
      </c>
      <c r="P7" s="1"/>
      <c r="Q7" s="1">
        <v>0.14899999999999999</v>
      </c>
      <c r="R7" s="1">
        <v>0.182</v>
      </c>
    </row>
    <row r="8" spans="1:21" x14ac:dyDescent="0.2">
      <c r="B8" s="1"/>
      <c r="C8" s="1"/>
      <c r="D8" s="1"/>
      <c r="E8" s="1"/>
      <c r="F8" s="1"/>
      <c r="G8" s="1"/>
      <c r="H8" s="1"/>
      <c r="I8" s="1"/>
      <c r="J8" s="1"/>
      <c r="N8" s="1"/>
      <c r="O8" s="1"/>
      <c r="P8" s="1"/>
      <c r="Q8" s="1"/>
      <c r="R8" s="1"/>
    </row>
    <row r="9" spans="1:21" x14ac:dyDescent="0.2">
      <c r="B9" s="1"/>
      <c r="C9" s="1"/>
      <c r="D9" s="1"/>
      <c r="E9" s="1"/>
      <c r="F9" s="1"/>
      <c r="G9" s="1"/>
      <c r="H9" s="1"/>
      <c r="I9" s="1"/>
      <c r="J9" s="1"/>
      <c r="L9" t="s">
        <v>44</v>
      </c>
      <c r="N9" s="1"/>
      <c r="O9" s="1"/>
      <c r="P9" s="1"/>
      <c r="Q9" s="1"/>
      <c r="R9" s="1"/>
    </row>
    <row r="10" spans="1:21" x14ac:dyDescent="0.2">
      <c r="A10" t="s">
        <v>25</v>
      </c>
      <c r="B10" s="1"/>
      <c r="C10" s="1"/>
      <c r="D10" s="1"/>
      <c r="E10" s="1"/>
      <c r="F10" s="1"/>
      <c r="G10" s="1"/>
      <c r="H10" s="1"/>
      <c r="I10" s="1"/>
      <c r="J10" s="1"/>
      <c r="L10" t="s">
        <v>20</v>
      </c>
      <c r="N10" s="1"/>
      <c r="O10" s="1"/>
      <c r="P10" s="1"/>
      <c r="Q10" s="1">
        <v>0.16700000000000001</v>
      </c>
      <c r="R10" s="1">
        <v>0.20300000000000001</v>
      </c>
    </row>
    <row r="11" spans="1:21" x14ac:dyDescent="0.2">
      <c r="A11" t="s">
        <v>2</v>
      </c>
      <c r="B11" s="1"/>
      <c r="C11" s="1">
        <v>0.24099999999999999</v>
      </c>
      <c r="D11" s="1">
        <v>0.29599999999999999</v>
      </c>
      <c r="E11" s="1"/>
      <c r="F11" s="1">
        <v>0.23599999999999999</v>
      </c>
      <c r="G11" s="1">
        <v>0.28899999999999998</v>
      </c>
      <c r="H11" s="1"/>
      <c r="I11" s="1">
        <f t="shared" si="0"/>
        <v>2.1186440677966121</v>
      </c>
      <c r="J11" s="1">
        <f t="shared" si="1"/>
        <v>2.4221453287197257</v>
      </c>
      <c r="L11" t="s">
        <v>21</v>
      </c>
      <c r="N11" s="1">
        <v>0.11</v>
      </c>
      <c r="O11" s="1">
        <v>0.104</v>
      </c>
      <c r="P11" s="1"/>
      <c r="Q11" s="1">
        <v>0.16700000000000001</v>
      </c>
      <c r="R11" s="1">
        <v>0.20300000000000001</v>
      </c>
      <c r="T11">
        <f t="shared" si="2"/>
        <v>65.868263473053887</v>
      </c>
      <c r="U11">
        <f t="shared" si="2"/>
        <v>51.231527093596057</v>
      </c>
    </row>
    <row r="12" spans="1:21" x14ac:dyDescent="0.2">
      <c r="A12" t="s">
        <v>3</v>
      </c>
      <c r="B12" s="1"/>
      <c r="C12" s="1">
        <v>0.16900000000000001</v>
      </c>
      <c r="D12" s="1">
        <v>0.20300000000000001</v>
      </c>
      <c r="E12" s="1"/>
      <c r="F12" s="1">
        <v>0.16700000000000001</v>
      </c>
      <c r="G12" s="1">
        <v>0.20399999999999999</v>
      </c>
      <c r="H12" s="1"/>
      <c r="I12" s="1">
        <f t="shared" si="0"/>
        <v>1.1976047904191627</v>
      </c>
      <c r="J12" s="1">
        <f t="shared" si="1"/>
        <v>-0.49019607843135943</v>
      </c>
      <c r="L12" t="s">
        <v>22</v>
      </c>
      <c r="N12" s="1">
        <v>0.113</v>
      </c>
      <c r="O12" s="1">
        <v>0.11600000000000001</v>
      </c>
      <c r="P12" s="1"/>
      <c r="Q12" s="1">
        <v>0.14899999999999999</v>
      </c>
      <c r="R12" s="1">
        <v>0.182</v>
      </c>
      <c r="T12">
        <f t="shared" si="2"/>
        <v>75.838926174496649</v>
      </c>
      <c r="U12">
        <f t="shared" si="2"/>
        <v>63.736263736263744</v>
      </c>
    </row>
    <row r="13" spans="1:21" x14ac:dyDescent="0.2">
      <c r="A13" t="s">
        <v>4</v>
      </c>
      <c r="B13" s="1"/>
      <c r="C13" s="1">
        <v>0.151</v>
      </c>
      <c r="D13" s="1">
        <v>0.183</v>
      </c>
      <c r="E13" s="1"/>
      <c r="F13" s="1">
        <v>0.14799999999999999</v>
      </c>
      <c r="G13" s="1">
        <v>0.182</v>
      </c>
      <c r="H13" s="1"/>
      <c r="I13" s="1">
        <f t="shared" si="0"/>
        <v>2.027027027027029</v>
      </c>
      <c r="J13" s="1">
        <f t="shared" si="1"/>
        <v>0.54945054945054994</v>
      </c>
      <c r="L13" t="s">
        <v>23</v>
      </c>
      <c r="N13" s="1"/>
      <c r="O13" s="1">
        <v>0.11600000000000001</v>
      </c>
      <c r="P13" s="1"/>
      <c r="Q13" s="1">
        <v>0.14899999999999999</v>
      </c>
      <c r="R13" s="1">
        <v>0.182</v>
      </c>
    </row>
    <row r="14" spans="1:21" x14ac:dyDescent="0.2">
      <c r="A14" t="s">
        <v>5</v>
      </c>
      <c r="B14" s="1"/>
      <c r="C14" s="1">
        <v>0.14299999999999999</v>
      </c>
      <c r="D14" s="1">
        <v>0.17299999999999999</v>
      </c>
      <c r="E14" s="1"/>
      <c r="F14" s="1">
        <v>0.14000000000000001</v>
      </c>
      <c r="G14" s="1">
        <v>0.17199999999999999</v>
      </c>
      <c r="H14" s="1"/>
      <c r="I14" s="1">
        <f t="shared" si="0"/>
        <v>2.1428571428571246</v>
      </c>
      <c r="J14" s="1">
        <f t="shared" si="1"/>
        <v>0.58139534883720989</v>
      </c>
      <c r="N14" s="1"/>
      <c r="O14" s="1"/>
      <c r="P14" s="1"/>
      <c r="Q14" s="1"/>
      <c r="R14" s="1"/>
    </row>
    <row r="15" spans="1:21" x14ac:dyDescent="0.2">
      <c r="B15" s="1"/>
      <c r="C15" s="1"/>
      <c r="D15" s="1"/>
      <c r="E15" s="1"/>
      <c r="F15" s="1"/>
      <c r="G15" s="1"/>
      <c r="H15" s="1"/>
      <c r="I15" s="1"/>
      <c r="J15" s="1"/>
      <c r="L15" t="s">
        <v>45</v>
      </c>
      <c r="N15" s="1"/>
      <c r="O15" s="1"/>
      <c r="P15" s="1"/>
      <c r="Q15" s="1"/>
      <c r="R15" s="1"/>
    </row>
    <row r="16" spans="1:21" x14ac:dyDescent="0.2">
      <c r="A16" t="s">
        <v>45</v>
      </c>
      <c r="I16" s="1"/>
      <c r="J16" s="1"/>
      <c r="L16" t="s">
        <v>21</v>
      </c>
      <c r="N16" s="1">
        <v>0.11</v>
      </c>
      <c r="O16" s="1">
        <v>0.105</v>
      </c>
      <c r="P16" s="1"/>
      <c r="Q16" s="1">
        <v>0.16700000000000001</v>
      </c>
      <c r="R16" s="1">
        <v>0.20300000000000001</v>
      </c>
      <c r="T16">
        <f t="shared" si="2"/>
        <v>65.868263473053887</v>
      </c>
      <c r="U16">
        <f t="shared" si="2"/>
        <v>51.724137931034477</v>
      </c>
    </row>
    <row r="17" spans="1:21" x14ac:dyDescent="0.2">
      <c r="A17" t="s">
        <v>2</v>
      </c>
      <c r="C17" s="1">
        <v>0.24199999999999999</v>
      </c>
      <c r="D17" s="1">
        <v>0.29399999999999998</v>
      </c>
      <c r="F17" s="1">
        <v>0.23599999999999999</v>
      </c>
      <c r="G17" s="1">
        <v>0.28899999999999998</v>
      </c>
      <c r="I17" s="1">
        <f t="shared" si="0"/>
        <v>2.5423728813559348</v>
      </c>
      <c r="J17" s="1">
        <f t="shared" si="1"/>
        <v>1.7301038062283753</v>
      </c>
      <c r="L17" t="s">
        <v>22</v>
      </c>
      <c r="N17" s="1">
        <v>0.113</v>
      </c>
      <c r="O17" s="1">
        <v>0.11899999999999999</v>
      </c>
      <c r="P17" s="1"/>
      <c r="Q17" s="1">
        <v>0.14899999999999999</v>
      </c>
      <c r="R17" s="1">
        <v>0.182</v>
      </c>
      <c r="T17">
        <f t="shared" si="2"/>
        <v>75.838926174496649</v>
      </c>
      <c r="U17">
        <f t="shared" si="2"/>
        <v>65.384615384615373</v>
      </c>
    </row>
    <row r="18" spans="1:21" x14ac:dyDescent="0.2">
      <c r="A18" t="s">
        <v>3</v>
      </c>
      <c r="C18" s="1">
        <v>0.17100000000000001</v>
      </c>
      <c r="D18" s="1">
        <v>0.20599999999999999</v>
      </c>
      <c r="F18" s="1">
        <v>0.16700000000000001</v>
      </c>
      <c r="G18" s="1">
        <v>0.20399999999999999</v>
      </c>
      <c r="I18" s="1">
        <f t="shared" si="0"/>
        <v>2.3952095808383254</v>
      </c>
      <c r="J18" s="1">
        <f t="shared" si="1"/>
        <v>0.98039215686274606</v>
      </c>
      <c r="N18" s="1"/>
      <c r="O18" s="1"/>
      <c r="P18" s="1"/>
      <c r="Q18" s="1"/>
      <c r="R18" s="1"/>
    </row>
    <row r="19" spans="1:21" x14ac:dyDescent="0.2">
      <c r="A19" t="s">
        <v>4</v>
      </c>
      <c r="C19" s="1">
        <v>0.153</v>
      </c>
      <c r="D19" s="1">
        <v>0.184</v>
      </c>
      <c r="F19" s="1">
        <v>0.14799999999999999</v>
      </c>
      <c r="G19" s="1">
        <v>0.182</v>
      </c>
      <c r="I19" s="1">
        <f t="shared" si="0"/>
        <v>3.3783783783783816</v>
      </c>
      <c r="J19" s="1">
        <f t="shared" si="1"/>
        <v>1.0989010989010999</v>
      </c>
      <c r="L19" t="s">
        <v>46</v>
      </c>
    </row>
    <row r="20" spans="1:21" x14ac:dyDescent="0.2">
      <c r="A20" t="s">
        <v>5</v>
      </c>
      <c r="C20" s="1">
        <v>0.14399999999999999</v>
      </c>
      <c r="D20" s="1">
        <v>0.17399999999999999</v>
      </c>
      <c r="F20" s="1">
        <v>0.14000000000000001</v>
      </c>
      <c r="G20" s="1">
        <v>0.17199999999999999</v>
      </c>
      <c r="I20" s="1">
        <f t="shared" si="0"/>
        <v>2.8571428571428394</v>
      </c>
      <c r="J20" s="1">
        <f t="shared" si="1"/>
        <v>1.1627906976744198</v>
      </c>
      <c r="L20" t="s">
        <v>21</v>
      </c>
      <c r="N20" s="1"/>
      <c r="O20">
        <v>0.105</v>
      </c>
      <c r="P20" s="1"/>
      <c r="Q20" s="1">
        <v>0.16700000000000001</v>
      </c>
      <c r="R20" s="1">
        <v>0.20300000000000001</v>
      </c>
    </row>
    <row r="21" spans="1:21" x14ac:dyDescent="0.2">
      <c r="I21" s="1"/>
      <c r="J21" s="1"/>
      <c r="L21" t="s">
        <v>22</v>
      </c>
      <c r="N21" s="1"/>
      <c r="O21" s="1">
        <v>0.11899999999999999</v>
      </c>
      <c r="P21" s="1"/>
      <c r="Q21" s="1">
        <v>0.14899999999999999</v>
      </c>
      <c r="R21" s="1">
        <v>0.182</v>
      </c>
    </row>
    <row r="22" spans="1:21" x14ac:dyDescent="0.2">
      <c r="A22" t="s">
        <v>47</v>
      </c>
      <c r="I22" s="1"/>
      <c r="J22" s="1"/>
    </row>
    <row r="23" spans="1:21" x14ac:dyDescent="0.2">
      <c r="A23" t="s">
        <v>2</v>
      </c>
      <c r="C23" s="1">
        <v>0.24199999999999999</v>
      </c>
      <c r="D23">
        <v>0.29099999999999998</v>
      </c>
      <c r="F23" s="1">
        <v>0.23599999999999999</v>
      </c>
      <c r="G23" s="1">
        <v>0.28899999999999998</v>
      </c>
      <c r="I23" s="1">
        <f t="shared" si="0"/>
        <v>2.5423728813559348</v>
      </c>
      <c r="J23" s="1">
        <f t="shared" si="1"/>
        <v>0.69204152249135009</v>
      </c>
      <c r="L23" t="s">
        <v>47</v>
      </c>
      <c r="N23" s="1"/>
      <c r="O23" s="1"/>
      <c r="P23" s="1"/>
    </row>
    <row r="24" spans="1:21" x14ac:dyDescent="0.2">
      <c r="A24" t="s">
        <v>3</v>
      </c>
      <c r="C24" s="1">
        <v>0.17100000000000001</v>
      </c>
      <c r="D24">
        <v>0.20300000000000001</v>
      </c>
      <c r="F24" s="1">
        <v>0.16700000000000001</v>
      </c>
      <c r="G24" s="1">
        <v>0.20399999999999999</v>
      </c>
      <c r="I24" s="1">
        <f t="shared" si="0"/>
        <v>2.3952095808383254</v>
      </c>
      <c r="J24" s="1">
        <f t="shared" si="1"/>
        <v>-0.49019607843135943</v>
      </c>
      <c r="L24" t="s">
        <v>21</v>
      </c>
      <c r="N24" s="1">
        <v>0.11</v>
      </c>
      <c r="O24">
        <v>9.8000000000000004E-2</v>
      </c>
      <c r="P24" s="1"/>
      <c r="Q24" s="1">
        <v>0.16700000000000001</v>
      </c>
      <c r="R24" s="1">
        <v>0.20300000000000001</v>
      </c>
      <c r="T24">
        <f t="shared" si="2"/>
        <v>65.868263473053887</v>
      </c>
      <c r="U24">
        <f t="shared" si="2"/>
        <v>48.275862068965516</v>
      </c>
    </row>
    <row r="25" spans="1:21" x14ac:dyDescent="0.2">
      <c r="A25" t="s">
        <v>4</v>
      </c>
      <c r="C25" s="1">
        <v>0.152</v>
      </c>
      <c r="D25">
        <v>0.182</v>
      </c>
      <c r="F25" s="1">
        <v>0.14799999999999999</v>
      </c>
      <c r="G25" s="1">
        <v>0.182</v>
      </c>
      <c r="I25" s="1">
        <f t="shared" si="0"/>
        <v>2.7027027027027053</v>
      </c>
      <c r="J25" s="1">
        <f t="shared" si="1"/>
        <v>0</v>
      </c>
      <c r="L25" t="s">
        <v>22</v>
      </c>
      <c r="N25">
        <v>0.113</v>
      </c>
      <c r="O25" s="1">
        <v>0.113</v>
      </c>
      <c r="Q25" s="1">
        <v>0.14899999999999999</v>
      </c>
      <c r="R25" s="1">
        <v>0.182</v>
      </c>
      <c r="T25">
        <f t="shared" si="2"/>
        <v>75.838926174496649</v>
      </c>
      <c r="U25">
        <f t="shared" si="2"/>
        <v>62.087912087912095</v>
      </c>
    </row>
    <row r="26" spans="1:21" x14ac:dyDescent="0.2">
      <c r="A26" t="s">
        <v>5</v>
      </c>
      <c r="C26" s="1">
        <v>0.14399999999999999</v>
      </c>
      <c r="D26">
        <v>0.17299999999999999</v>
      </c>
      <c r="F26" s="1">
        <v>0.14000000000000001</v>
      </c>
      <c r="G26" s="1">
        <v>0.17199999999999999</v>
      </c>
      <c r="I26" s="1">
        <f t="shared" si="0"/>
        <v>2.8571428571428394</v>
      </c>
      <c r="J26" s="1">
        <f t="shared" si="1"/>
        <v>0.58139534883720989</v>
      </c>
    </row>
    <row r="27" spans="1:21" x14ac:dyDescent="0.2">
      <c r="I27" s="1"/>
      <c r="J27" s="1"/>
      <c r="L27" t="s">
        <v>48</v>
      </c>
    </row>
    <row r="28" spans="1:21" x14ac:dyDescent="0.2">
      <c r="A28" t="s">
        <v>57</v>
      </c>
      <c r="I28" s="1"/>
      <c r="J28" s="1"/>
      <c r="L28" t="s">
        <v>21</v>
      </c>
      <c r="N28">
        <v>0.11</v>
      </c>
      <c r="O28">
        <v>9.7000000000000003E-2</v>
      </c>
      <c r="Q28" s="1">
        <v>0.16700000000000001</v>
      </c>
      <c r="R28" s="1">
        <v>0.20300000000000001</v>
      </c>
      <c r="T28">
        <f t="shared" si="2"/>
        <v>65.868263473053887</v>
      </c>
      <c r="U28">
        <f t="shared" si="2"/>
        <v>47.783251231527096</v>
      </c>
    </row>
    <row r="29" spans="1:21" x14ac:dyDescent="0.2">
      <c r="A29" t="s">
        <v>2</v>
      </c>
      <c r="C29">
        <v>0.24099999999999999</v>
      </c>
      <c r="D29" s="1">
        <v>0.29499999999999998</v>
      </c>
      <c r="F29" s="1">
        <v>0.23599999999999999</v>
      </c>
      <c r="G29" s="1">
        <v>0.28899999999999998</v>
      </c>
      <c r="I29" s="1">
        <f t="shared" si="0"/>
        <v>2.1186440677966121</v>
      </c>
      <c r="J29" s="1">
        <f t="shared" si="1"/>
        <v>2.0761245674740505</v>
      </c>
      <c r="L29" t="s">
        <v>22</v>
      </c>
      <c r="N29">
        <v>0.113</v>
      </c>
      <c r="O29">
        <v>0.113</v>
      </c>
      <c r="Q29" s="1">
        <v>0.14899999999999999</v>
      </c>
      <c r="R29" s="1">
        <v>0.182</v>
      </c>
      <c r="T29">
        <f t="shared" si="2"/>
        <v>75.838926174496649</v>
      </c>
      <c r="U29">
        <f t="shared" si="2"/>
        <v>62.087912087912095</v>
      </c>
    </row>
    <row r="30" spans="1:21" x14ac:dyDescent="0.2">
      <c r="A30" t="s">
        <v>3</v>
      </c>
      <c r="C30">
        <v>0.17100000000000001</v>
      </c>
      <c r="D30">
        <v>0.20599999999999999</v>
      </c>
      <c r="F30" s="1">
        <v>0.16700000000000001</v>
      </c>
      <c r="G30" s="1">
        <v>0.20399999999999999</v>
      </c>
      <c r="I30" s="1">
        <f t="shared" si="0"/>
        <v>2.3952095808383254</v>
      </c>
      <c r="J30" s="1">
        <f t="shared" si="1"/>
        <v>0.98039215686274606</v>
      </c>
    </row>
    <row r="31" spans="1:21" x14ac:dyDescent="0.2">
      <c r="A31" t="s">
        <v>4</v>
      </c>
      <c r="C31">
        <v>0.152</v>
      </c>
      <c r="D31">
        <v>0.184</v>
      </c>
      <c r="F31" s="1">
        <v>0.14799999999999999</v>
      </c>
      <c r="G31" s="1">
        <v>0.182</v>
      </c>
      <c r="I31" s="1">
        <f t="shared" si="0"/>
        <v>2.7027027027027053</v>
      </c>
      <c r="J31" s="1">
        <f t="shared" si="1"/>
        <v>1.0989010989010999</v>
      </c>
      <c r="N31" t="s">
        <v>64</v>
      </c>
    </row>
    <row r="32" spans="1:21" x14ac:dyDescent="0.2">
      <c r="A32" t="s">
        <v>5</v>
      </c>
      <c r="C32">
        <v>0.14399999999999999</v>
      </c>
      <c r="D32">
        <v>0.17399999999999999</v>
      </c>
      <c r="F32" s="1">
        <v>0.14000000000000001</v>
      </c>
      <c r="G32" s="1">
        <v>0.17199999999999999</v>
      </c>
      <c r="I32" s="1">
        <f t="shared" si="0"/>
        <v>2.8571428571428394</v>
      </c>
      <c r="J32" s="1">
        <f t="shared" si="1"/>
        <v>1.1627906976744198</v>
      </c>
    </row>
    <row r="33" spans="1:22" x14ac:dyDescent="0.2">
      <c r="I33" s="1"/>
      <c r="L33" t="s">
        <v>33</v>
      </c>
    </row>
    <row r="34" spans="1:22" x14ac:dyDescent="0.2">
      <c r="A34" t="s">
        <v>40</v>
      </c>
      <c r="B34" s="1"/>
      <c r="C34" s="1"/>
      <c r="D34" s="1"/>
      <c r="E34" s="1"/>
      <c r="F34" s="1"/>
      <c r="G34" s="1"/>
      <c r="H34" s="1"/>
      <c r="I34" s="1"/>
      <c r="J34" s="1"/>
      <c r="L34" t="s">
        <v>21</v>
      </c>
      <c r="N34" s="1">
        <v>0.107</v>
      </c>
      <c r="O34" s="1">
        <v>0.09</v>
      </c>
      <c r="P34" s="1"/>
      <c r="Q34" s="1">
        <v>0.16700000000000001</v>
      </c>
      <c r="R34" s="1">
        <v>0.20300000000000001</v>
      </c>
      <c r="T34">
        <f t="shared" si="2"/>
        <v>64.071856287425135</v>
      </c>
      <c r="U34">
        <f t="shared" si="2"/>
        <v>44.334975369458128</v>
      </c>
    </row>
    <row r="35" spans="1:22" x14ac:dyDescent="0.2">
      <c r="A35" t="s">
        <v>70</v>
      </c>
      <c r="B35" s="1" t="s">
        <v>67</v>
      </c>
      <c r="C35" s="1"/>
      <c r="D35" s="1"/>
      <c r="E35" s="1"/>
      <c r="F35" s="1"/>
      <c r="G35" s="1"/>
      <c r="H35" s="1"/>
      <c r="I35" s="1"/>
      <c r="J35" s="1"/>
      <c r="L35" t="s">
        <v>22</v>
      </c>
      <c r="N35">
        <v>0.111</v>
      </c>
      <c r="O35">
        <v>0.107</v>
      </c>
      <c r="Q35" s="1">
        <v>0.14899999999999999</v>
      </c>
      <c r="R35" s="1">
        <v>0.182</v>
      </c>
      <c r="T35">
        <f t="shared" si="2"/>
        <v>74.496644295302019</v>
      </c>
      <c r="U35">
        <f t="shared" si="2"/>
        <v>58.791208791208788</v>
      </c>
    </row>
    <row r="36" spans="1:22" x14ac:dyDescent="0.2">
      <c r="A36" t="s">
        <v>12</v>
      </c>
      <c r="B36" s="1"/>
      <c r="C36" s="1">
        <v>0.10299999999999999</v>
      </c>
      <c r="D36" s="1">
        <v>0.13800000000000001</v>
      </c>
      <c r="E36" s="1"/>
      <c r="F36" s="1">
        <v>9.1999999999999998E-2</v>
      </c>
      <c r="G36" s="1">
        <v>0.13300000000000001</v>
      </c>
      <c r="H36" s="1"/>
      <c r="I36" s="1">
        <f t="shared" si="0"/>
        <v>11.956521739130432</v>
      </c>
      <c r="J36" s="1">
        <f>D36-G36</f>
        <v>5.0000000000000044E-3</v>
      </c>
    </row>
    <row r="37" spans="1:22" x14ac:dyDescent="0.2">
      <c r="A37" t="s">
        <v>13</v>
      </c>
      <c r="B37" s="1"/>
      <c r="C37" s="1"/>
      <c r="D37" s="1">
        <v>0.13200000000000001</v>
      </c>
      <c r="E37" s="1"/>
      <c r="F37" s="1">
        <v>7.8E-2</v>
      </c>
      <c r="G37" s="1">
        <v>0.126</v>
      </c>
      <c r="H37" s="1"/>
      <c r="I37" s="1">
        <f t="shared" si="0"/>
        <v>-100</v>
      </c>
      <c r="J37" s="1">
        <f>D37-G37</f>
        <v>6.0000000000000053E-3</v>
      </c>
      <c r="L37" t="s">
        <v>58</v>
      </c>
    </row>
    <row r="38" spans="1:22" x14ac:dyDescent="0.2">
      <c r="A38" t="s">
        <v>14</v>
      </c>
      <c r="B38" s="1"/>
      <c r="C38" s="1"/>
      <c r="D38" s="1">
        <v>0.13</v>
      </c>
      <c r="E38" s="1"/>
      <c r="F38" s="1">
        <v>6.0999999999999999E-2</v>
      </c>
      <c r="G38" s="1">
        <v>0.12</v>
      </c>
      <c r="H38" s="1"/>
      <c r="I38" s="1">
        <f t="shared" si="0"/>
        <v>-100</v>
      </c>
      <c r="J38" s="1">
        <f>D38-G38</f>
        <v>1.0000000000000009E-2</v>
      </c>
      <c r="L38" t="s">
        <v>21</v>
      </c>
      <c r="N38">
        <v>0.107</v>
      </c>
      <c r="O38">
        <v>9.4E-2</v>
      </c>
      <c r="Q38" s="1">
        <v>0.16700000000000001</v>
      </c>
      <c r="R38" s="1">
        <v>0.20300000000000001</v>
      </c>
      <c r="T38">
        <f t="shared" si="2"/>
        <v>64.071856287425135</v>
      </c>
      <c r="U38">
        <f t="shared" si="2"/>
        <v>46.305418719211822</v>
      </c>
    </row>
    <row r="39" spans="1:22" x14ac:dyDescent="0.2">
      <c r="I39" s="1"/>
      <c r="L39" t="s">
        <v>22</v>
      </c>
      <c r="N39">
        <v>0.111</v>
      </c>
      <c r="O39">
        <v>0.108</v>
      </c>
      <c r="Q39" s="1">
        <v>0.14899999999999999</v>
      </c>
      <c r="R39" s="1">
        <v>0.182</v>
      </c>
      <c r="T39">
        <f t="shared" si="2"/>
        <v>74.496644295302019</v>
      </c>
      <c r="U39">
        <f t="shared" si="2"/>
        <v>59.340659340659343</v>
      </c>
      <c r="V39" t="s">
        <v>69</v>
      </c>
    </row>
    <row r="40" spans="1:22" x14ac:dyDescent="0.2">
      <c r="A40" t="s">
        <v>40</v>
      </c>
      <c r="I40" s="1"/>
    </row>
    <row r="41" spans="1:22" x14ac:dyDescent="0.2">
      <c r="A41" t="s">
        <v>74</v>
      </c>
      <c r="I41" s="1"/>
      <c r="L41" t="s">
        <v>50</v>
      </c>
    </row>
    <row r="42" spans="1:22" x14ac:dyDescent="0.2">
      <c r="A42" t="s">
        <v>12</v>
      </c>
      <c r="C42">
        <v>0.153</v>
      </c>
      <c r="F42">
        <v>0.14799999999999999</v>
      </c>
      <c r="G42">
        <v>0.185</v>
      </c>
      <c r="I42" s="1"/>
      <c r="L42" t="s">
        <v>21</v>
      </c>
      <c r="N42">
        <v>0.107</v>
      </c>
      <c r="O42">
        <v>9.8000000000000004E-2</v>
      </c>
      <c r="Q42" s="1">
        <v>0.16700000000000001</v>
      </c>
      <c r="R42" s="1">
        <v>0.20300000000000001</v>
      </c>
      <c r="T42">
        <f t="shared" si="2"/>
        <v>64.071856287425135</v>
      </c>
      <c r="U42">
        <f t="shared" si="2"/>
        <v>48.275862068965516</v>
      </c>
    </row>
    <row r="43" spans="1:22" x14ac:dyDescent="0.2">
      <c r="A43" t="s">
        <v>13</v>
      </c>
      <c r="F43">
        <v>0.13700000000000001</v>
      </c>
      <c r="G43">
        <v>0.17100000000000001</v>
      </c>
      <c r="I43" s="1"/>
      <c r="L43" t="s">
        <v>22</v>
      </c>
      <c r="N43">
        <v>0.111</v>
      </c>
      <c r="O43">
        <v>0.113</v>
      </c>
      <c r="Q43" s="1">
        <v>0.14899999999999999</v>
      </c>
      <c r="R43" s="1">
        <v>0.182</v>
      </c>
      <c r="T43">
        <f t="shared" si="2"/>
        <v>74.496644295302019</v>
      </c>
      <c r="U43">
        <f t="shared" si="2"/>
        <v>62.087912087912095</v>
      </c>
    </row>
    <row r="44" spans="1:22" x14ac:dyDescent="0.2">
      <c r="A44" t="s">
        <v>14</v>
      </c>
      <c r="F44">
        <v>0.13200000000000001</v>
      </c>
      <c r="G44">
        <v>0.16400000000000001</v>
      </c>
      <c r="I44" s="1"/>
    </row>
    <row r="45" spans="1:22" x14ac:dyDescent="0.2">
      <c r="L45" t="s">
        <v>51</v>
      </c>
    </row>
    <row r="46" spans="1:22" x14ac:dyDescent="0.2">
      <c r="A46" t="s">
        <v>41</v>
      </c>
      <c r="I46" s="1"/>
      <c r="L46" t="s">
        <v>21</v>
      </c>
      <c r="O46">
        <v>9.8000000000000004E-2</v>
      </c>
      <c r="Q46" s="1">
        <v>0.16700000000000001</v>
      </c>
      <c r="R46" s="1">
        <v>0.20300000000000001</v>
      </c>
    </row>
    <row r="47" spans="1:22" x14ac:dyDescent="0.2">
      <c r="A47" t="s">
        <v>74</v>
      </c>
      <c r="I47" s="1"/>
      <c r="L47" t="s">
        <v>22</v>
      </c>
      <c r="O47">
        <v>0.113</v>
      </c>
      <c r="Q47" s="1">
        <v>0.14899999999999999</v>
      </c>
      <c r="R47" s="1">
        <v>0.182</v>
      </c>
    </row>
    <row r="48" spans="1:22" x14ac:dyDescent="0.2">
      <c r="A48" t="s">
        <v>12</v>
      </c>
      <c r="C48">
        <v>0.15</v>
      </c>
      <c r="D48">
        <v>0.185</v>
      </c>
      <c r="F48">
        <v>0.14799999999999999</v>
      </c>
      <c r="G48">
        <v>0.185</v>
      </c>
      <c r="I48" s="1"/>
    </row>
    <row r="49" spans="1:21" x14ac:dyDescent="0.2">
      <c r="A49" t="s">
        <v>13</v>
      </c>
      <c r="C49">
        <v>0.13900000000000001</v>
      </c>
      <c r="D49">
        <v>0.17100000000000001</v>
      </c>
      <c r="F49">
        <v>0.13700000000000001</v>
      </c>
      <c r="G49">
        <v>0.17100000000000001</v>
      </c>
      <c r="I49" s="1"/>
      <c r="L49" t="s">
        <v>52</v>
      </c>
    </row>
    <row r="50" spans="1:21" x14ac:dyDescent="0.2">
      <c r="A50" t="s">
        <v>14</v>
      </c>
      <c r="C50">
        <v>0.13400000000000001</v>
      </c>
      <c r="D50">
        <v>0.16400000000000001</v>
      </c>
      <c r="F50">
        <v>0.13200000000000001</v>
      </c>
      <c r="G50">
        <v>0.16400000000000001</v>
      </c>
      <c r="I50" s="1"/>
      <c r="L50" t="s">
        <v>21</v>
      </c>
      <c r="N50">
        <v>0.107</v>
      </c>
      <c r="O50">
        <v>8.8999999999999996E-2</v>
      </c>
      <c r="Q50" s="1">
        <v>0.16700000000000001</v>
      </c>
      <c r="R50" s="1">
        <v>0.20300000000000001</v>
      </c>
      <c r="T50">
        <f t="shared" si="2"/>
        <v>64.071856287425135</v>
      </c>
      <c r="U50">
        <f t="shared" si="2"/>
        <v>43.842364532019701</v>
      </c>
    </row>
    <row r="51" spans="1:21" x14ac:dyDescent="0.2">
      <c r="I51" s="1"/>
      <c r="L51" t="s">
        <v>22</v>
      </c>
      <c r="N51">
        <v>0.111</v>
      </c>
      <c r="O51">
        <v>0.106</v>
      </c>
      <c r="Q51" s="1">
        <v>0.14899999999999999</v>
      </c>
      <c r="R51" s="1">
        <v>0.182</v>
      </c>
      <c r="T51">
        <f t="shared" si="2"/>
        <v>74.496644295302019</v>
      </c>
      <c r="U51">
        <f t="shared" si="2"/>
        <v>58.241758241758241</v>
      </c>
    </row>
    <row r="52" spans="1:21" x14ac:dyDescent="0.2">
      <c r="A52" t="s">
        <v>71</v>
      </c>
    </row>
    <row r="53" spans="1:21" x14ac:dyDescent="0.2">
      <c r="A53" t="s">
        <v>74</v>
      </c>
      <c r="L53" t="s">
        <v>53</v>
      </c>
    </row>
    <row r="54" spans="1:21" x14ac:dyDescent="0.2">
      <c r="A54" t="s">
        <v>12</v>
      </c>
      <c r="C54">
        <v>0.14799999999999999</v>
      </c>
      <c r="D54">
        <v>0.18099999999999999</v>
      </c>
      <c r="F54">
        <v>0.14799999999999999</v>
      </c>
      <c r="G54">
        <v>0.185</v>
      </c>
      <c r="L54" t="s">
        <v>21</v>
      </c>
      <c r="N54">
        <v>0.107</v>
      </c>
      <c r="O54">
        <v>8.6999999999999994E-2</v>
      </c>
      <c r="Q54" s="1">
        <v>0.16700000000000001</v>
      </c>
      <c r="R54" s="1">
        <v>0.20300000000000001</v>
      </c>
      <c r="T54">
        <f t="shared" si="2"/>
        <v>64.071856287425135</v>
      </c>
      <c r="U54">
        <f t="shared" si="2"/>
        <v>42.857142857142854</v>
      </c>
    </row>
    <row r="55" spans="1:21" x14ac:dyDescent="0.2">
      <c r="A55" t="s">
        <v>13</v>
      </c>
      <c r="C55">
        <v>0.13800000000000001</v>
      </c>
      <c r="D55">
        <v>0.16800000000000001</v>
      </c>
      <c r="F55">
        <v>0.13700000000000001</v>
      </c>
      <c r="G55">
        <v>0.17100000000000001</v>
      </c>
      <c r="L55" t="s">
        <v>22</v>
      </c>
      <c r="N55">
        <v>0.111</v>
      </c>
      <c r="O55">
        <v>0.104</v>
      </c>
      <c r="Q55" s="1">
        <v>0.14899999999999999</v>
      </c>
      <c r="R55" s="1">
        <v>0.182</v>
      </c>
      <c r="T55">
        <f t="shared" si="2"/>
        <v>74.496644295302019</v>
      </c>
      <c r="U55">
        <f t="shared" si="2"/>
        <v>57.142857142857146</v>
      </c>
    </row>
    <row r="56" spans="1:21" x14ac:dyDescent="0.2">
      <c r="A56" t="s">
        <v>14</v>
      </c>
      <c r="C56">
        <v>0.13300000000000001</v>
      </c>
      <c r="D56">
        <v>0.16200000000000001</v>
      </c>
      <c r="F56">
        <v>0.13200000000000001</v>
      </c>
      <c r="G56">
        <v>0.16400000000000001</v>
      </c>
    </row>
    <row r="57" spans="1:21" x14ac:dyDescent="0.2">
      <c r="L57" t="s">
        <v>49</v>
      </c>
    </row>
    <row r="58" spans="1:21" x14ac:dyDescent="0.2">
      <c r="L58" t="s">
        <v>21</v>
      </c>
      <c r="Q58" s="1">
        <v>0.16700000000000001</v>
      </c>
      <c r="R58" s="1">
        <v>0.20300000000000001</v>
      </c>
    </row>
    <row r="59" spans="1:21" x14ac:dyDescent="0.2">
      <c r="L59" t="s">
        <v>22</v>
      </c>
      <c r="Q59" s="1">
        <v>0.14899999999999999</v>
      </c>
      <c r="R59" s="1">
        <v>0.182</v>
      </c>
    </row>
    <row r="62" spans="1:21" x14ac:dyDescent="0.2">
      <c r="A62" t="s">
        <v>60</v>
      </c>
      <c r="C62" t="s">
        <v>37</v>
      </c>
      <c r="I62" s="1"/>
      <c r="J62" s="1"/>
    </row>
    <row r="63" spans="1:21" x14ac:dyDescent="0.2">
      <c r="A63" t="s">
        <v>18</v>
      </c>
      <c r="D63" s="1"/>
      <c r="F63" s="1"/>
      <c r="G63" s="1"/>
      <c r="H63" s="1"/>
      <c r="I63" s="1"/>
      <c r="J63" s="1"/>
    </row>
    <row r="64" spans="1:21" x14ac:dyDescent="0.2">
      <c r="A64" t="s">
        <v>15</v>
      </c>
      <c r="C64" s="1">
        <v>0.16800000000000001</v>
      </c>
      <c r="D64" s="1">
        <v>0.20499999999999999</v>
      </c>
      <c r="E64" s="1"/>
      <c r="F64" s="1">
        <v>0.16700000000000001</v>
      </c>
      <c r="G64" s="1">
        <v>0.20399999999999999</v>
      </c>
      <c r="H64" s="1"/>
      <c r="I64" s="1">
        <f t="shared" ref="I64:I84" si="3">100*(C64-F64)/F64</f>
        <v>0.59880239520958134</v>
      </c>
      <c r="J64" s="1">
        <f>D64-G64</f>
        <v>1.0000000000000009E-3</v>
      </c>
    </row>
    <row r="65" spans="1:10" x14ac:dyDescent="0.2">
      <c r="A65" t="s">
        <v>16</v>
      </c>
      <c r="C65" s="1">
        <v>0.151</v>
      </c>
      <c r="D65" s="1">
        <v>0.184</v>
      </c>
      <c r="E65" s="1"/>
      <c r="F65" s="1">
        <v>0.14799999999999999</v>
      </c>
      <c r="G65" s="1">
        <v>0.182</v>
      </c>
      <c r="H65" s="1"/>
      <c r="I65" s="1">
        <f t="shared" si="3"/>
        <v>2.027027027027029</v>
      </c>
      <c r="J65" s="1">
        <f>D65-G65</f>
        <v>2.0000000000000018E-3</v>
      </c>
    </row>
    <row r="66" spans="1:10" x14ac:dyDescent="0.2">
      <c r="A66" t="s">
        <v>17</v>
      </c>
      <c r="C66" s="1">
        <v>0.14299999999999999</v>
      </c>
      <c r="D66" s="1">
        <v>0.17399999999999999</v>
      </c>
      <c r="E66" s="1"/>
      <c r="F66" s="1">
        <v>0.14000000000000001</v>
      </c>
      <c r="G66" s="1">
        <v>0.17199999999999999</v>
      </c>
      <c r="H66" s="1"/>
      <c r="I66" s="1">
        <f t="shared" si="3"/>
        <v>2.1428571428571246</v>
      </c>
      <c r="J66" s="1">
        <f>D66-G66</f>
        <v>2.0000000000000018E-3</v>
      </c>
    </row>
    <row r="67" spans="1:10" x14ac:dyDescent="0.2">
      <c r="C67" s="1"/>
      <c r="D67" s="1"/>
      <c r="E67" s="1"/>
      <c r="F67" s="1"/>
      <c r="G67" s="1"/>
      <c r="I67" s="1" t="e">
        <f t="shared" si="3"/>
        <v>#DIV/0!</v>
      </c>
      <c r="J67" s="1"/>
    </row>
    <row r="68" spans="1:10" x14ac:dyDescent="0.2">
      <c r="A68" t="s">
        <v>61</v>
      </c>
      <c r="C68" s="1"/>
      <c r="D68" s="1"/>
      <c r="E68" s="1"/>
      <c r="F68" s="1"/>
      <c r="G68" s="1"/>
      <c r="I68" s="1" t="e">
        <f t="shared" si="3"/>
        <v>#DIV/0!</v>
      </c>
      <c r="J68" s="1"/>
    </row>
    <row r="69" spans="1:10" x14ac:dyDescent="0.2">
      <c r="A69" t="s">
        <v>18</v>
      </c>
      <c r="C69" s="1"/>
      <c r="D69" s="1"/>
      <c r="E69" s="1"/>
      <c r="F69" s="1"/>
      <c r="G69" s="1"/>
      <c r="I69" s="1" t="e">
        <f t="shared" si="3"/>
        <v>#DIV/0!</v>
      </c>
    </row>
    <row r="70" spans="1:10" x14ac:dyDescent="0.2">
      <c r="A70" t="s">
        <v>15</v>
      </c>
      <c r="C70" s="1">
        <v>0.16500000000000001</v>
      </c>
      <c r="D70" s="1">
        <v>0.2</v>
      </c>
      <c r="E70" s="1"/>
      <c r="F70" s="1">
        <v>0.16700000000000001</v>
      </c>
      <c r="G70" s="1">
        <v>0.20399999999999999</v>
      </c>
      <c r="I70" s="1">
        <f t="shared" si="3"/>
        <v>-1.1976047904191627</v>
      </c>
    </row>
    <row r="71" spans="1:10" x14ac:dyDescent="0.2">
      <c r="A71" t="s">
        <v>16</v>
      </c>
      <c r="C71" s="1">
        <v>0.14799999999999999</v>
      </c>
      <c r="D71" s="1">
        <v>0.18099999999999999</v>
      </c>
      <c r="E71" s="1"/>
      <c r="F71" s="1">
        <v>0.14799999999999999</v>
      </c>
      <c r="G71" s="1">
        <v>0.182</v>
      </c>
      <c r="I71" s="1">
        <f t="shared" si="3"/>
        <v>0</v>
      </c>
    </row>
    <row r="72" spans="1:10" x14ac:dyDescent="0.2">
      <c r="A72" t="s">
        <v>17</v>
      </c>
      <c r="C72" s="1">
        <v>0.14000000000000001</v>
      </c>
      <c r="D72" s="1">
        <v>0.17199999999999999</v>
      </c>
      <c r="E72" s="1"/>
      <c r="F72" s="1">
        <v>0.14000000000000001</v>
      </c>
      <c r="G72" s="1">
        <v>0.17199999999999999</v>
      </c>
      <c r="I72" s="1">
        <f t="shared" si="3"/>
        <v>0</v>
      </c>
    </row>
    <row r="73" spans="1:10" x14ac:dyDescent="0.2">
      <c r="C73" s="1"/>
      <c r="D73" s="1"/>
      <c r="E73" s="1"/>
      <c r="F73" s="1"/>
      <c r="G73" s="1"/>
      <c r="I73" s="1" t="e">
        <f t="shared" si="3"/>
        <v>#DIV/0!</v>
      </c>
    </row>
    <row r="74" spans="1:10" x14ac:dyDescent="0.2">
      <c r="C74" s="1"/>
      <c r="D74" s="1"/>
      <c r="E74" s="1"/>
      <c r="F74" s="1"/>
      <c r="G74" s="1"/>
      <c r="I74" s="1" t="e">
        <f t="shared" si="3"/>
        <v>#DIV/0!</v>
      </c>
    </row>
    <row r="75" spans="1:10" x14ac:dyDescent="0.2">
      <c r="C75" s="1"/>
      <c r="D75" s="1"/>
      <c r="E75" s="1"/>
      <c r="F75" s="1"/>
      <c r="G75" s="1"/>
      <c r="I75" s="1" t="e">
        <f t="shared" si="3"/>
        <v>#DIV/0!</v>
      </c>
    </row>
    <row r="76" spans="1:10" x14ac:dyDescent="0.2">
      <c r="C76" s="1"/>
      <c r="D76" s="1"/>
      <c r="E76" s="1"/>
      <c r="F76" s="1"/>
      <c r="G76" s="1"/>
      <c r="I76" s="1" t="e">
        <f t="shared" si="3"/>
        <v>#DIV/0!</v>
      </c>
    </row>
    <row r="77" spans="1:10" x14ac:dyDescent="0.2">
      <c r="A77" t="s">
        <v>28</v>
      </c>
      <c r="C77" s="1"/>
      <c r="D77" s="1"/>
      <c r="E77" s="1"/>
      <c r="F77" s="1"/>
      <c r="G77" s="1"/>
      <c r="I77" s="1" t="e">
        <f t="shared" si="3"/>
        <v>#DIV/0!</v>
      </c>
      <c r="J77" s="1"/>
    </row>
    <row r="78" spans="1:10" x14ac:dyDescent="0.2">
      <c r="A78" t="s">
        <v>27</v>
      </c>
      <c r="C78" s="1"/>
      <c r="D78" s="1"/>
      <c r="E78" s="1"/>
      <c r="F78" s="1"/>
      <c r="G78" s="1"/>
      <c r="I78" s="1" t="e">
        <f t="shared" si="3"/>
        <v>#DIV/0!</v>
      </c>
      <c r="J78" s="1" t="s">
        <v>34</v>
      </c>
    </row>
    <row r="79" spans="1:10" x14ac:dyDescent="0.2">
      <c r="A79" t="s">
        <v>2</v>
      </c>
      <c r="C79" s="1">
        <v>0.23899999999999999</v>
      </c>
      <c r="D79" s="1">
        <v>0.29099999999999998</v>
      </c>
      <c r="E79" s="1"/>
      <c r="F79" s="1">
        <v>0.23599999999999999</v>
      </c>
      <c r="G79" s="1">
        <v>0.28899999999999998</v>
      </c>
      <c r="I79" s="1">
        <f t="shared" si="3"/>
        <v>1.2711864406779674</v>
      </c>
      <c r="J79" s="1">
        <f>D79-G79</f>
        <v>2.0000000000000018E-3</v>
      </c>
    </row>
    <row r="80" spans="1:10" x14ac:dyDescent="0.2">
      <c r="A80" t="s">
        <v>3</v>
      </c>
      <c r="C80" s="1">
        <v>0.16900000000000001</v>
      </c>
      <c r="D80" s="1">
        <v>0.20399999999999999</v>
      </c>
      <c r="E80" s="1"/>
      <c r="F80" s="1">
        <v>0.16700000000000001</v>
      </c>
      <c r="G80" s="1">
        <v>0.20399999999999999</v>
      </c>
      <c r="I80" s="1">
        <f t="shared" si="3"/>
        <v>1.1976047904191627</v>
      </c>
      <c r="J80" s="1">
        <f t="shared" ref="J80:J82" si="4">D80-G80</f>
        <v>0</v>
      </c>
    </row>
    <row r="81" spans="1:10" x14ac:dyDescent="0.2">
      <c r="A81" t="s">
        <v>4</v>
      </c>
      <c r="C81" s="1">
        <v>0.151</v>
      </c>
      <c r="D81" s="1">
        <v>0.182</v>
      </c>
      <c r="E81" s="1"/>
      <c r="F81" s="1">
        <v>0.14799999999999999</v>
      </c>
      <c r="G81" s="1">
        <v>0.182</v>
      </c>
      <c r="I81" s="1">
        <f t="shared" si="3"/>
        <v>2.027027027027029</v>
      </c>
      <c r="J81" s="1">
        <f t="shared" si="4"/>
        <v>0</v>
      </c>
    </row>
    <row r="82" spans="1:10" x14ac:dyDescent="0.2">
      <c r="A82" t="s">
        <v>5</v>
      </c>
      <c r="C82" s="1">
        <v>0.14199999999999999</v>
      </c>
      <c r="D82" s="1">
        <v>0.17199999999999999</v>
      </c>
      <c r="E82" s="1"/>
      <c r="F82" s="1">
        <v>0.14000000000000001</v>
      </c>
      <c r="G82" s="1">
        <v>0.17199999999999999</v>
      </c>
      <c r="I82" s="1">
        <f t="shared" si="3"/>
        <v>1.42857142857141</v>
      </c>
      <c r="J82" s="1">
        <f t="shared" si="4"/>
        <v>0</v>
      </c>
    </row>
    <row r="83" spans="1:10" x14ac:dyDescent="0.2">
      <c r="I83" s="1" t="e">
        <f t="shared" si="3"/>
        <v>#DIV/0!</v>
      </c>
    </row>
    <row r="84" spans="1:10" x14ac:dyDescent="0.2">
      <c r="A84" t="s">
        <v>36</v>
      </c>
      <c r="I84" s="1" t="e">
        <f t="shared" si="3"/>
        <v>#DIV/0!</v>
      </c>
    </row>
    <row r="85" spans="1:10" x14ac:dyDescent="0.2">
      <c r="A85" t="s">
        <v>2</v>
      </c>
      <c r="C85">
        <v>0.23400000000000001</v>
      </c>
      <c r="D85">
        <v>0.28499999999999998</v>
      </c>
      <c r="F85" s="1">
        <v>0.23599999999999999</v>
      </c>
      <c r="G85" s="1">
        <v>0.28899999999999998</v>
      </c>
      <c r="I85" s="1">
        <f t="shared" ref="I85:I101" si="5">100*(C85-F85)/F85</f>
        <v>-0.84745762711863315</v>
      </c>
    </row>
    <row r="86" spans="1:10" x14ac:dyDescent="0.2">
      <c r="A86" t="s">
        <v>3</v>
      </c>
      <c r="C86" s="1">
        <v>0.16700000000000001</v>
      </c>
      <c r="D86" s="1">
        <v>0.2</v>
      </c>
      <c r="E86" s="1"/>
      <c r="F86" s="1">
        <v>0.16700000000000001</v>
      </c>
      <c r="G86" s="1">
        <v>0.20399999999999999</v>
      </c>
      <c r="I86" s="1">
        <f t="shared" si="5"/>
        <v>0</v>
      </c>
    </row>
    <row r="87" spans="1:10" x14ac:dyDescent="0.2">
      <c r="A87" t="s">
        <v>4</v>
      </c>
      <c r="C87" s="1">
        <v>0.14899999999999999</v>
      </c>
      <c r="D87" s="1">
        <v>0.18</v>
      </c>
      <c r="E87" s="1"/>
      <c r="F87" s="1">
        <v>0.14799999999999999</v>
      </c>
      <c r="G87" s="1">
        <v>0.182</v>
      </c>
      <c r="I87" s="1">
        <f t="shared" si="5"/>
        <v>0.67567567567567632</v>
      </c>
    </row>
    <row r="88" spans="1:10" x14ac:dyDescent="0.2">
      <c r="A88" t="s">
        <v>5</v>
      </c>
      <c r="C88" t="s">
        <v>56</v>
      </c>
      <c r="D88">
        <v>0.17</v>
      </c>
      <c r="F88" s="1">
        <v>0.14000000000000001</v>
      </c>
      <c r="G88" s="1">
        <v>0.17199999999999999</v>
      </c>
      <c r="I88" s="1" t="e">
        <f t="shared" si="5"/>
        <v>#VALUE!</v>
      </c>
    </row>
    <row r="89" spans="1:10" x14ac:dyDescent="0.2">
      <c r="C89" t="s">
        <v>59</v>
      </c>
      <c r="I89" s="1" t="e">
        <f t="shared" si="5"/>
        <v>#VALUE!</v>
      </c>
    </row>
    <row r="90" spans="1:10" x14ac:dyDescent="0.2">
      <c r="A90" t="s">
        <v>29</v>
      </c>
      <c r="I90" s="1" t="e">
        <f t="shared" si="5"/>
        <v>#DIV/0!</v>
      </c>
    </row>
    <row r="91" spans="1:10" x14ac:dyDescent="0.2">
      <c r="A91" t="s">
        <v>30</v>
      </c>
      <c r="I91" s="1" t="e">
        <f t="shared" si="5"/>
        <v>#DIV/0!</v>
      </c>
    </row>
    <row r="92" spans="1:10" x14ac:dyDescent="0.2">
      <c r="A92" t="s">
        <v>2</v>
      </c>
      <c r="F92" s="1">
        <v>0.23599999999999999</v>
      </c>
      <c r="G92" s="1">
        <v>0.28899999999999998</v>
      </c>
      <c r="I92" s="1">
        <f t="shared" si="5"/>
        <v>-100</v>
      </c>
    </row>
    <row r="93" spans="1:10" x14ac:dyDescent="0.2">
      <c r="A93" t="s">
        <v>3</v>
      </c>
      <c r="F93" s="1">
        <v>0.16700000000000001</v>
      </c>
      <c r="G93" s="1">
        <v>0.20399999999999999</v>
      </c>
      <c r="I93" s="1">
        <f t="shared" si="5"/>
        <v>-99.999999999999986</v>
      </c>
    </row>
    <row r="94" spans="1:10" x14ac:dyDescent="0.2">
      <c r="A94" t="s">
        <v>4</v>
      </c>
      <c r="F94" s="1">
        <v>0.14799999999999999</v>
      </c>
      <c r="G94" s="1">
        <v>0.182</v>
      </c>
      <c r="I94" s="1">
        <f t="shared" si="5"/>
        <v>-100</v>
      </c>
    </row>
    <row r="95" spans="1:10" x14ac:dyDescent="0.2">
      <c r="A95" t="s">
        <v>5</v>
      </c>
      <c r="F95" s="1">
        <v>0.14000000000000001</v>
      </c>
      <c r="G95" s="1">
        <v>0.17199999999999999</v>
      </c>
      <c r="I95" s="1">
        <f t="shared" si="5"/>
        <v>-100</v>
      </c>
    </row>
    <row r="96" spans="1:10" x14ac:dyDescent="0.2">
      <c r="I96" s="1" t="e">
        <f t="shared" si="5"/>
        <v>#DIV/0!</v>
      </c>
    </row>
    <row r="97" spans="1:9" x14ac:dyDescent="0.2">
      <c r="A97" t="s">
        <v>35</v>
      </c>
      <c r="I97" s="1" t="e">
        <f t="shared" si="5"/>
        <v>#DIV/0!</v>
      </c>
    </row>
    <row r="98" spans="1:9" x14ac:dyDescent="0.2">
      <c r="A98" t="s">
        <v>2</v>
      </c>
      <c r="F98" s="1">
        <v>0.23599999999999999</v>
      </c>
      <c r="G98" s="1">
        <v>0.28899999999999998</v>
      </c>
      <c r="I98" s="1">
        <f t="shared" si="5"/>
        <v>-100</v>
      </c>
    </row>
    <row r="99" spans="1:9" x14ac:dyDescent="0.2">
      <c r="A99" t="s">
        <v>3</v>
      </c>
      <c r="D99">
        <v>0.20499999999999999</v>
      </c>
      <c r="F99" s="1">
        <v>0.16700000000000001</v>
      </c>
      <c r="G99" s="1">
        <v>0.20399999999999999</v>
      </c>
      <c r="I99" s="1">
        <f t="shared" si="5"/>
        <v>-99.999999999999986</v>
      </c>
    </row>
    <row r="100" spans="1:9" x14ac:dyDescent="0.2">
      <c r="A100" t="s">
        <v>4</v>
      </c>
      <c r="D100">
        <v>0.183</v>
      </c>
      <c r="F100" s="1">
        <v>0.14799999999999999</v>
      </c>
      <c r="G100" s="1">
        <v>0.182</v>
      </c>
      <c r="I100" s="1">
        <f t="shared" si="5"/>
        <v>-100</v>
      </c>
    </row>
    <row r="101" spans="1:9" x14ac:dyDescent="0.2">
      <c r="A101" t="s">
        <v>5</v>
      </c>
      <c r="F101" s="1">
        <v>0.14000000000000001</v>
      </c>
      <c r="G101" s="1">
        <v>0.17199999999999999</v>
      </c>
      <c r="I101" s="1">
        <f t="shared" si="5"/>
        <v>-100</v>
      </c>
    </row>
    <row r="103" spans="1:9" x14ac:dyDescent="0.2">
      <c r="D103" t="s">
        <v>42</v>
      </c>
    </row>
    <row r="104" spans="1:9" x14ac:dyDescent="0.2">
      <c r="D104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3406-BC63-C04B-A14B-A3BF637F68F3}">
  <dimension ref="A1:P41"/>
  <sheetViews>
    <sheetView topLeftCell="I5" workbookViewId="0">
      <selection activeCell="N37" sqref="N37"/>
    </sheetView>
  </sheetViews>
  <sheetFormatPr baseColWidth="10" defaultRowHeight="16" x14ac:dyDescent="0.2"/>
  <cols>
    <col min="1" max="1" width="37.33203125" customWidth="1"/>
    <col min="10" max="10" width="63.1640625" bestFit="1" customWidth="1"/>
  </cols>
  <sheetData>
    <row r="1" spans="1:16" x14ac:dyDescent="0.2">
      <c r="A1" t="s">
        <v>38</v>
      </c>
    </row>
    <row r="3" spans="1:16" x14ac:dyDescent="0.2">
      <c r="A3" t="s">
        <v>39</v>
      </c>
    </row>
    <row r="5" spans="1:16" x14ac:dyDescent="0.2">
      <c r="A5" t="s">
        <v>6</v>
      </c>
      <c r="B5" t="s">
        <v>8</v>
      </c>
      <c r="C5" t="s">
        <v>0</v>
      </c>
      <c r="D5" t="s">
        <v>1</v>
      </c>
      <c r="E5" t="s">
        <v>9</v>
      </c>
      <c r="F5" t="s">
        <v>0</v>
      </c>
      <c r="G5" t="s">
        <v>1</v>
      </c>
      <c r="J5" t="s">
        <v>19</v>
      </c>
      <c r="K5" t="s">
        <v>8</v>
      </c>
      <c r="L5" t="s">
        <v>0</v>
      </c>
      <c r="M5" t="s">
        <v>1</v>
      </c>
      <c r="N5" t="s">
        <v>9</v>
      </c>
      <c r="O5" t="s">
        <v>0</v>
      </c>
      <c r="P5" t="s">
        <v>1</v>
      </c>
    </row>
    <row r="6" spans="1:16" x14ac:dyDescent="0.2">
      <c r="A6" t="s">
        <v>7</v>
      </c>
      <c r="J6" t="s">
        <v>65</v>
      </c>
    </row>
    <row r="7" spans="1:16" x14ac:dyDescent="0.2">
      <c r="A7" t="s">
        <v>10</v>
      </c>
      <c r="J7" t="s">
        <v>26</v>
      </c>
      <c r="K7" s="1"/>
      <c r="L7" s="1"/>
      <c r="M7" s="1"/>
      <c r="N7" s="1"/>
      <c r="O7" s="1"/>
      <c r="P7" s="1"/>
    </row>
    <row r="8" spans="1:16" x14ac:dyDescent="0.2">
      <c r="A8" t="s">
        <v>2</v>
      </c>
      <c r="C8" s="1"/>
      <c r="D8" s="1"/>
      <c r="E8" s="1"/>
      <c r="F8" s="1">
        <v>0.23599999999999999</v>
      </c>
      <c r="G8" s="1">
        <v>0.28899999999999998</v>
      </c>
      <c r="J8" t="s">
        <v>21</v>
      </c>
      <c r="K8" s="1"/>
      <c r="L8" s="1"/>
      <c r="M8" s="1">
        <v>8.5999999999999993E-2</v>
      </c>
      <c r="N8" s="1"/>
      <c r="O8" s="1">
        <v>0.16700000000000001</v>
      </c>
      <c r="P8" s="1">
        <v>0.20300000000000001</v>
      </c>
    </row>
    <row r="9" spans="1:16" x14ac:dyDescent="0.2">
      <c r="A9" t="s">
        <v>3</v>
      </c>
      <c r="C9" s="1"/>
      <c r="D9" s="1"/>
      <c r="E9" s="1"/>
      <c r="F9" s="1">
        <v>0.16700000000000001</v>
      </c>
      <c r="G9" s="1">
        <v>0.20399999999999999</v>
      </c>
      <c r="J9" t="s">
        <v>22</v>
      </c>
      <c r="K9" s="1"/>
      <c r="L9" s="1"/>
      <c r="M9" s="1">
        <v>0.104</v>
      </c>
      <c r="N9" s="1"/>
      <c r="O9" s="1">
        <v>0.14899999999999999</v>
      </c>
      <c r="P9" s="1">
        <v>0.182</v>
      </c>
    </row>
    <row r="10" spans="1:16" x14ac:dyDescent="0.2">
      <c r="A10" t="s">
        <v>4</v>
      </c>
      <c r="C10" s="1"/>
      <c r="D10" s="1">
        <v>0.183</v>
      </c>
      <c r="E10" s="1"/>
      <c r="F10" s="1">
        <v>0.14799999999999999</v>
      </c>
      <c r="G10" s="1">
        <v>0.182</v>
      </c>
      <c r="L10" s="1"/>
      <c r="M10" s="1"/>
      <c r="N10" s="1"/>
      <c r="O10" s="1"/>
      <c r="P10" s="1"/>
    </row>
    <row r="11" spans="1:16" x14ac:dyDescent="0.2">
      <c r="A11" t="s">
        <v>5</v>
      </c>
      <c r="C11" s="1"/>
      <c r="D11" s="1"/>
      <c r="E11" s="1"/>
      <c r="F11" s="1">
        <v>0.14000000000000001</v>
      </c>
      <c r="G11" s="1">
        <v>0.17199999999999999</v>
      </c>
      <c r="L11" s="1"/>
      <c r="M11" s="1"/>
      <c r="N11" s="1"/>
      <c r="O11" s="1"/>
      <c r="P11" s="1"/>
    </row>
    <row r="12" spans="1:16" x14ac:dyDescent="0.2">
      <c r="J12" t="s">
        <v>62</v>
      </c>
      <c r="L12" s="1"/>
      <c r="M12" s="1"/>
      <c r="N12" s="1"/>
      <c r="O12" s="1"/>
      <c r="P12" s="1"/>
    </row>
    <row r="13" spans="1:16" x14ac:dyDescent="0.2">
      <c r="J13" t="s">
        <v>63</v>
      </c>
      <c r="L13" s="1"/>
      <c r="M13" s="1"/>
      <c r="N13" s="1"/>
      <c r="O13" s="1"/>
      <c r="P13" s="1"/>
    </row>
    <row r="14" spans="1:16" x14ac:dyDescent="0.2">
      <c r="A14" t="s">
        <v>11</v>
      </c>
      <c r="L14" s="1"/>
      <c r="M14" s="1"/>
      <c r="N14" s="1"/>
      <c r="O14" s="1"/>
      <c r="P14" s="1"/>
    </row>
    <row r="15" spans="1:16" x14ac:dyDescent="0.2">
      <c r="J15" t="s">
        <v>26</v>
      </c>
      <c r="L15" s="1"/>
      <c r="M15" s="1"/>
      <c r="N15" s="1"/>
      <c r="O15" s="1"/>
      <c r="P15" s="1"/>
    </row>
    <row r="16" spans="1:16" x14ac:dyDescent="0.2">
      <c r="C16" s="1"/>
      <c r="D16" s="1"/>
      <c r="E16" s="1"/>
      <c r="F16" s="1"/>
      <c r="G16" s="1"/>
      <c r="J16" t="s">
        <v>21</v>
      </c>
      <c r="L16" s="1">
        <v>0.107</v>
      </c>
      <c r="M16" s="1">
        <v>9.4E-2</v>
      </c>
      <c r="N16" s="1"/>
      <c r="O16" s="1">
        <v>0.16700000000000001</v>
      </c>
      <c r="P16" s="1">
        <v>0.20300000000000001</v>
      </c>
    </row>
    <row r="17" spans="3:16" x14ac:dyDescent="0.2">
      <c r="C17" s="1"/>
      <c r="D17" s="1"/>
      <c r="E17" s="1"/>
      <c r="F17" s="1"/>
      <c r="G17" s="1"/>
      <c r="J17" t="s">
        <v>22</v>
      </c>
      <c r="L17" s="1">
        <v>0.112</v>
      </c>
      <c r="M17" s="1">
        <v>0.111</v>
      </c>
      <c r="N17" s="1"/>
      <c r="O17" s="1">
        <v>0.14899999999999999</v>
      </c>
      <c r="P17" s="1">
        <v>0.182</v>
      </c>
    </row>
    <row r="18" spans="3:16" x14ac:dyDescent="0.2">
      <c r="C18" s="1"/>
      <c r="D18" s="1"/>
      <c r="E18" s="1"/>
      <c r="F18" s="1"/>
      <c r="G18" s="1"/>
      <c r="K18" s="1"/>
      <c r="L18" s="1"/>
      <c r="M18" s="1"/>
      <c r="N18" s="1"/>
      <c r="O18" s="1"/>
      <c r="P18" s="1"/>
    </row>
    <row r="19" spans="3:16" x14ac:dyDescent="0.2">
      <c r="C19" s="1"/>
      <c r="D19" s="1"/>
      <c r="E19" s="1"/>
      <c r="F19" s="1"/>
      <c r="G19" s="1"/>
      <c r="J19" t="s">
        <v>44</v>
      </c>
      <c r="L19" s="1"/>
      <c r="M19" s="1"/>
      <c r="N19" s="1"/>
      <c r="O19" s="1"/>
      <c r="P19" s="1"/>
    </row>
    <row r="20" spans="3:16" x14ac:dyDescent="0.2">
      <c r="J20" t="s">
        <v>21</v>
      </c>
      <c r="L20" s="1">
        <v>0.109</v>
      </c>
      <c r="M20" s="1">
        <v>9.5000000000000001E-2</v>
      </c>
      <c r="N20" s="1"/>
      <c r="O20" s="1">
        <v>0.16700000000000001</v>
      </c>
      <c r="P20" s="1">
        <v>0.20300000000000001</v>
      </c>
    </row>
    <row r="21" spans="3:16" x14ac:dyDescent="0.2">
      <c r="J21" t="s">
        <v>22</v>
      </c>
      <c r="L21" s="1">
        <v>0.113</v>
      </c>
      <c r="M21" s="1">
        <v>0.111</v>
      </c>
      <c r="N21" s="1"/>
      <c r="O21" s="1">
        <v>0.14899999999999999</v>
      </c>
      <c r="P21" s="1">
        <v>0.182</v>
      </c>
    </row>
    <row r="22" spans="3:16" x14ac:dyDescent="0.2">
      <c r="L22" s="1"/>
      <c r="M22" s="1"/>
      <c r="N22" s="1"/>
      <c r="O22" s="1"/>
      <c r="P22" s="1"/>
    </row>
    <row r="23" spans="3:16" x14ac:dyDescent="0.2">
      <c r="J23" t="s">
        <v>46</v>
      </c>
      <c r="L23" s="1"/>
      <c r="M23" s="1"/>
      <c r="N23" s="1"/>
      <c r="O23" s="1"/>
      <c r="P23" s="1"/>
    </row>
    <row r="24" spans="3:16" x14ac:dyDescent="0.2">
      <c r="J24" t="s">
        <v>21</v>
      </c>
      <c r="L24" s="1">
        <v>0.107</v>
      </c>
      <c r="M24" s="1">
        <v>9.4E-2</v>
      </c>
      <c r="N24" s="1"/>
      <c r="O24" s="1">
        <v>0.16700000000000001</v>
      </c>
      <c r="P24" s="1">
        <v>0.20300000000000001</v>
      </c>
    </row>
    <row r="25" spans="3:16" x14ac:dyDescent="0.2">
      <c r="J25" t="s">
        <v>22</v>
      </c>
      <c r="L25" s="1">
        <v>0.112</v>
      </c>
      <c r="M25" s="1">
        <v>0.11</v>
      </c>
      <c r="N25" s="1"/>
      <c r="O25" s="1">
        <v>0.14899999999999999</v>
      </c>
      <c r="P25" s="1">
        <v>0.182</v>
      </c>
    </row>
    <row r="26" spans="3:16" x14ac:dyDescent="0.2">
      <c r="L26" s="1"/>
      <c r="M26" s="1"/>
      <c r="N26" s="1"/>
      <c r="O26" s="1"/>
      <c r="P26" s="1"/>
    </row>
    <row r="27" spans="3:16" x14ac:dyDescent="0.2">
      <c r="J27" t="s">
        <v>47</v>
      </c>
      <c r="L27" s="1"/>
      <c r="M27" s="1"/>
      <c r="N27" s="1"/>
      <c r="O27" s="1"/>
      <c r="P27" s="1"/>
    </row>
    <row r="28" spans="3:16" x14ac:dyDescent="0.2">
      <c r="J28" t="s">
        <v>21</v>
      </c>
      <c r="L28" s="1">
        <v>0.108</v>
      </c>
      <c r="M28" s="1">
        <v>9.4E-2</v>
      </c>
      <c r="N28" s="1"/>
      <c r="O28" s="1">
        <v>0.16700000000000001</v>
      </c>
      <c r="P28" s="1">
        <v>0.20300000000000001</v>
      </c>
    </row>
    <row r="29" spans="3:16" x14ac:dyDescent="0.2">
      <c r="J29" t="s">
        <v>22</v>
      </c>
      <c r="L29" s="1">
        <v>0.112</v>
      </c>
      <c r="M29" s="1">
        <v>0.109</v>
      </c>
      <c r="N29" s="1"/>
      <c r="O29" s="1">
        <v>0.14899999999999999</v>
      </c>
      <c r="P29" s="1">
        <v>0.182</v>
      </c>
    </row>
    <row r="30" spans="3:16" x14ac:dyDescent="0.2">
      <c r="L30" s="1"/>
      <c r="N30" s="1"/>
      <c r="O30" s="1"/>
      <c r="P30" s="1"/>
    </row>
    <row r="31" spans="3:16" x14ac:dyDescent="0.2">
      <c r="J31" t="s">
        <v>48</v>
      </c>
      <c r="L31" s="1"/>
      <c r="M31" s="1"/>
      <c r="N31" s="1"/>
      <c r="O31" s="1"/>
      <c r="P31" s="1"/>
    </row>
    <row r="32" spans="3:16" x14ac:dyDescent="0.2">
      <c r="J32" t="s">
        <v>21</v>
      </c>
      <c r="L32" s="1">
        <v>0.107</v>
      </c>
      <c r="M32" s="1">
        <v>9.4E-2</v>
      </c>
      <c r="N32" s="1"/>
      <c r="O32" s="1">
        <v>0.16700000000000001</v>
      </c>
      <c r="P32" s="1">
        <v>0.20300000000000001</v>
      </c>
    </row>
    <row r="33" spans="10:16" x14ac:dyDescent="0.2">
      <c r="J33" t="s">
        <v>22</v>
      </c>
      <c r="L33" s="1">
        <v>0.112</v>
      </c>
      <c r="M33" s="1">
        <v>0.11</v>
      </c>
      <c r="N33" s="1"/>
      <c r="O33" s="1">
        <v>0.14899999999999999</v>
      </c>
      <c r="P33" s="1">
        <v>0.182</v>
      </c>
    </row>
    <row r="34" spans="10:16" x14ac:dyDescent="0.2">
      <c r="L34" s="1"/>
      <c r="M34" s="1"/>
      <c r="N34" s="1"/>
      <c r="O34" s="1"/>
      <c r="P34" s="1"/>
    </row>
    <row r="37" spans="10:16" x14ac:dyDescent="0.2">
      <c r="J37" t="s">
        <v>75</v>
      </c>
      <c r="L37" t="s">
        <v>73</v>
      </c>
    </row>
    <row r="41" spans="10:16" x14ac:dyDescent="0.2">
      <c r="J41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50CC6-1784-0148-86ED-F8EB384FEA78}">
  <dimension ref="C2:J35"/>
  <sheetViews>
    <sheetView tabSelected="1" workbookViewId="0">
      <selection activeCell="E16" sqref="E16"/>
    </sheetView>
  </sheetViews>
  <sheetFormatPr baseColWidth="10" defaultRowHeight="16" x14ac:dyDescent="0.2"/>
  <cols>
    <col min="3" max="3" width="46.83203125" bestFit="1" customWidth="1"/>
    <col min="4" max="4" width="15.6640625" customWidth="1"/>
    <col min="5" max="5" width="16.6640625" bestFit="1" customWidth="1"/>
    <col min="6" max="6" width="17.1640625" bestFit="1" customWidth="1"/>
    <col min="7" max="7" width="18.83203125" bestFit="1" customWidth="1"/>
    <col min="9" max="9" width="14.33203125" customWidth="1"/>
    <col min="10" max="10" width="15.5" customWidth="1"/>
  </cols>
  <sheetData>
    <row r="2" spans="3:10" x14ac:dyDescent="0.2">
      <c r="C2" t="s">
        <v>19</v>
      </c>
      <c r="D2" t="s">
        <v>8</v>
      </c>
      <c r="E2" t="s">
        <v>82</v>
      </c>
      <c r="F2" t="s">
        <v>80</v>
      </c>
      <c r="G2" t="s">
        <v>81</v>
      </c>
      <c r="H2" t="s">
        <v>9</v>
      </c>
      <c r="I2" t="s">
        <v>0</v>
      </c>
      <c r="J2" t="s">
        <v>1</v>
      </c>
    </row>
    <row r="3" spans="3:10" x14ac:dyDescent="0.2">
      <c r="C3" t="s">
        <v>66</v>
      </c>
    </row>
    <row r="5" spans="3:10" x14ac:dyDescent="0.2">
      <c r="C5" t="s">
        <v>26</v>
      </c>
      <c r="E5" s="1"/>
      <c r="F5" s="1"/>
      <c r="G5" s="1"/>
      <c r="H5" s="1"/>
      <c r="I5" s="1"/>
      <c r="J5" s="1"/>
    </row>
    <row r="6" spans="3:10" x14ac:dyDescent="0.2">
      <c r="C6" t="s">
        <v>21</v>
      </c>
      <c r="E6" s="1"/>
      <c r="F6" s="1">
        <v>5.3999999999999999E-2</v>
      </c>
      <c r="G6">
        <v>5.5E-2</v>
      </c>
      <c r="H6" s="1"/>
      <c r="I6" s="1">
        <v>0.16700000000000001</v>
      </c>
      <c r="J6" s="1">
        <v>0.20300000000000001</v>
      </c>
    </row>
    <row r="7" spans="3:10" x14ac:dyDescent="0.2">
      <c r="C7" t="s">
        <v>22</v>
      </c>
      <c r="E7" s="1"/>
      <c r="F7" s="1"/>
      <c r="H7" s="1"/>
      <c r="I7" s="1">
        <v>0.14899999999999999</v>
      </c>
      <c r="J7" s="1">
        <v>0.182</v>
      </c>
    </row>
    <row r="8" spans="3:10" x14ac:dyDescent="0.2">
      <c r="D8" s="1"/>
      <c r="E8" s="1"/>
      <c r="F8" s="1"/>
      <c r="H8" s="1"/>
      <c r="I8" s="1"/>
      <c r="J8" s="1"/>
    </row>
    <row r="9" spans="3:10" x14ac:dyDescent="0.2">
      <c r="C9" t="s">
        <v>44</v>
      </c>
      <c r="E9" s="1"/>
      <c r="F9" s="1"/>
      <c r="H9" s="1"/>
      <c r="I9" s="1"/>
      <c r="J9" s="1"/>
    </row>
    <row r="10" spans="3:10" x14ac:dyDescent="0.2">
      <c r="C10" t="s">
        <v>21</v>
      </c>
      <c r="E10" s="1"/>
      <c r="F10" s="1">
        <v>5.3999999999999999E-2</v>
      </c>
      <c r="G10">
        <v>5.5E-2</v>
      </c>
      <c r="H10" s="1"/>
      <c r="I10" s="1">
        <v>0.16700000000000001</v>
      </c>
      <c r="J10" s="1">
        <v>0.20300000000000001</v>
      </c>
    </row>
    <row r="11" spans="3:10" x14ac:dyDescent="0.2">
      <c r="C11" t="s">
        <v>22</v>
      </c>
      <c r="E11" s="1"/>
      <c r="F11" s="1"/>
      <c r="H11" s="1"/>
      <c r="I11" s="1">
        <v>0.14899999999999999</v>
      </c>
      <c r="J11" s="1">
        <v>0.182</v>
      </c>
    </row>
    <row r="12" spans="3:10" x14ac:dyDescent="0.2">
      <c r="E12" s="1"/>
      <c r="F12" s="1"/>
      <c r="H12" s="1"/>
      <c r="I12" s="1"/>
      <c r="J12" s="1"/>
    </row>
    <row r="13" spans="3:10" x14ac:dyDescent="0.2">
      <c r="C13" t="s">
        <v>46</v>
      </c>
      <c r="E13" s="1"/>
      <c r="F13" s="1"/>
      <c r="H13" s="1"/>
      <c r="I13" s="1"/>
      <c r="J13" s="1"/>
    </row>
    <row r="14" spans="3:10" x14ac:dyDescent="0.2">
      <c r="C14" t="s">
        <v>21</v>
      </c>
      <c r="E14" s="1"/>
      <c r="F14" s="1">
        <v>5.3999999999999999E-2</v>
      </c>
      <c r="G14">
        <v>5.5E-2</v>
      </c>
      <c r="H14" s="1"/>
      <c r="I14" s="1">
        <v>0.16700000000000001</v>
      </c>
      <c r="J14" s="1">
        <v>0.20300000000000001</v>
      </c>
    </row>
    <row r="15" spans="3:10" x14ac:dyDescent="0.2">
      <c r="C15" t="s">
        <v>22</v>
      </c>
      <c r="E15" s="1"/>
      <c r="F15" s="1"/>
      <c r="G15" s="1"/>
      <c r="H15" s="1"/>
      <c r="I15" s="1">
        <v>0.14899999999999999</v>
      </c>
      <c r="J15" s="1">
        <v>0.182</v>
      </c>
    </row>
    <row r="16" spans="3:10" x14ac:dyDescent="0.2">
      <c r="E16" s="1"/>
      <c r="F16" s="1"/>
      <c r="G16" s="1"/>
      <c r="H16" s="1"/>
      <c r="I16" s="1"/>
      <c r="J16" s="1"/>
    </row>
    <row r="17" spans="3:10" x14ac:dyDescent="0.2">
      <c r="C17" t="s">
        <v>47</v>
      </c>
      <c r="E17" s="1"/>
      <c r="F17" s="1"/>
      <c r="G17" s="1"/>
      <c r="H17" s="1"/>
      <c r="I17" s="1"/>
      <c r="J17" s="1"/>
    </row>
    <row r="18" spans="3:10" x14ac:dyDescent="0.2">
      <c r="C18" t="s">
        <v>21</v>
      </c>
      <c r="E18" s="1"/>
      <c r="F18" s="1"/>
      <c r="G18" s="1">
        <v>5.5E-2</v>
      </c>
      <c r="H18" s="1"/>
      <c r="I18" s="1">
        <v>0.16700000000000001</v>
      </c>
      <c r="J18" s="1">
        <v>0.20300000000000001</v>
      </c>
    </row>
    <row r="19" spans="3:10" x14ac:dyDescent="0.2">
      <c r="C19" t="s">
        <v>22</v>
      </c>
      <c r="E19" s="1"/>
      <c r="F19" s="1"/>
      <c r="G19" s="1"/>
      <c r="H19" s="1"/>
      <c r="I19" s="1">
        <v>0.14899999999999999</v>
      </c>
      <c r="J19" s="1">
        <v>0.182</v>
      </c>
    </row>
    <row r="20" spans="3:10" x14ac:dyDescent="0.2">
      <c r="E20" s="1"/>
      <c r="F20" s="1"/>
      <c r="H20" s="1"/>
      <c r="I20" s="1"/>
      <c r="J20" s="1"/>
    </row>
    <row r="21" spans="3:10" x14ac:dyDescent="0.2">
      <c r="C21" t="s">
        <v>48</v>
      </c>
      <c r="E21" s="1"/>
      <c r="F21" s="1"/>
      <c r="G21" s="1"/>
      <c r="H21" s="1"/>
      <c r="I21" s="1"/>
      <c r="J21" s="1"/>
    </row>
    <row r="22" spans="3:10" x14ac:dyDescent="0.2">
      <c r="C22" t="s">
        <v>21</v>
      </c>
      <c r="E22" s="1"/>
      <c r="F22" s="1"/>
      <c r="G22">
        <v>5.5E-2</v>
      </c>
      <c r="H22" s="1"/>
      <c r="I22" s="1">
        <v>0.16700000000000001</v>
      </c>
      <c r="J22" s="1">
        <v>0.20300000000000001</v>
      </c>
    </row>
    <row r="23" spans="3:10" x14ac:dyDescent="0.2">
      <c r="C23" t="s">
        <v>22</v>
      </c>
      <c r="E23" s="1"/>
      <c r="F23" s="1"/>
      <c r="G23" s="1"/>
      <c r="H23" s="1"/>
      <c r="I23" s="1">
        <v>0.14899999999999999</v>
      </c>
      <c r="J23" s="1">
        <v>0.182</v>
      </c>
    </row>
    <row r="25" spans="3:10" x14ac:dyDescent="0.2">
      <c r="G25" t="s">
        <v>79</v>
      </c>
    </row>
    <row r="33" spans="3:3" x14ac:dyDescent="0.2">
      <c r="C33" t="s">
        <v>72</v>
      </c>
    </row>
    <row r="34" spans="3:3" x14ac:dyDescent="0.2">
      <c r="C34" t="s">
        <v>76</v>
      </c>
    </row>
    <row r="35" spans="3:3" x14ac:dyDescent="0.2">
      <c r="C35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59772-CDDE-854A-B2EE-88807BE84E2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EB0B-DB8C-404C-A3D0-30A5A9C382F6}">
  <dimension ref="A1:O13"/>
  <sheetViews>
    <sheetView workbookViewId="0">
      <selection activeCell="F19" sqref="F19"/>
    </sheetView>
  </sheetViews>
  <sheetFormatPr baseColWidth="10" defaultRowHeight="16" x14ac:dyDescent="0.2"/>
  <cols>
    <col min="1" max="1" width="34.1640625" customWidth="1"/>
    <col min="9" max="9" width="46.1640625" bestFit="1" customWidth="1"/>
  </cols>
  <sheetData>
    <row r="1" spans="1:15" x14ac:dyDescent="0.2">
      <c r="A1" t="s">
        <v>6</v>
      </c>
      <c r="B1" t="s">
        <v>8</v>
      </c>
      <c r="C1" t="s">
        <v>0</v>
      </c>
      <c r="D1" t="s">
        <v>1</v>
      </c>
      <c r="E1" t="s">
        <v>9</v>
      </c>
      <c r="F1" t="s">
        <v>0</v>
      </c>
      <c r="G1" t="s">
        <v>1</v>
      </c>
    </row>
    <row r="2" spans="1:15" x14ac:dyDescent="0.2">
      <c r="A2" t="s">
        <v>7</v>
      </c>
      <c r="I2" t="s">
        <v>19</v>
      </c>
      <c r="J2" t="s">
        <v>8</v>
      </c>
      <c r="K2" t="s">
        <v>0</v>
      </c>
      <c r="L2" t="s">
        <v>1</v>
      </c>
      <c r="M2" t="s">
        <v>9</v>
      </c>
      <c r="N2" t="s">
        <v>0</v>
      </c>
      <c r="O2" t="s">
        <v>1</v>
      </c>
    </row>
    <row r="3" spans="1:15" x14ac:dyDescent="0.2">
      <c r="A3" t="s">
        <v>10</v>
      </c>
    </row>
    <row r="4" spans="1:15" x14ac:dyDescent="0.2">
      <c r="A4" t="s">
        <v>2</v>
      </c>
      <c r="C4" s="1"/>
      <c r="D4" s="1">
        <v>0.29699999999999999</v>
      </c>
      <c r="E4" s="1"/>
      <c r="F4" s="1">
        <v>0.23599999999999999</v>
      </c>
      <c r="G4" s="1">
        <v>0.28899999999999998</v>
      </c>
      <c r="I4" t="s">
        <v>26</v>
      </c>
      <c r="J4" s="1"/>
      <c r="K4" s="1"/>
      <c r="L4" s="1"/>
      <c r="M4" s="1"/>
      <c r="N4" s="1"/>
      <c r="O4" s="1"/>
    </row>
    <row r="5" spans="1:15" x14ac:dyDescent="0.2">
      <c r="A5" t="s">
        <v>3</v>
      </c>
      <c r="C5" s="1"/>
      <c r="D5" s="1">
        <v>0.20599999999999999</v>
      </c>
      <c r="E5" s="1"/>
      <c r="F5" s="1">
        <v>0.16700000000000001</v>
      </c>
      <c r="G5" s="1">
        <v>0.20399999999999999</v>
      </c>
      <c r="I5" t="s">
        <v>21</v>
      </c>
      <c r="J5" s="1"/>
      <c r="K5" s="1"/>
      <c r="L5" s="1"/>
      <c r="M5" s="1"/>
      <c r="N5" s="1">
        <v>0.16700000000000001</v>
      </c>
      <c r="O5" s="1">
        <v>0.20300000000000001</v>
      </c>
    </row>
    <row r="6" spans="1:15" x14ac:dyDescent="0.2">
      <c r="A6" t="s">
        <v>4</v>
      </c>
      <c r="C6" s="1"/>
      <c r="D6" s="1">
        <v>0.184</v>
      </c>
      <c r="E6" s="1"/>
      <c r="F6" s="1">
        <v>0.14799999999999999</v>
      </c>
      <c r="G6" s="1">
        <v>0.182</v>
      </c>
      <c r="I6" t="s">
        <v>22</v>
      </c>
      <c r="J6" s="1"/>
      <c r="K6" s="1"/>
      <c r="L6" s="1"/>
      <c r="M6" s="1"/>
      <c r="N6" s="1">
        <v>0.14899999999999999</v>
      </c>
      <c r="O6" s="1">
        <v>0.182</v>
      </c>
    </row>
    <row r="7" spans="1:15" x14ac:dyDescent="0.2">
      <c r="A7" t="s">
        <v>5</v>
      </c>
      <c r="C7" s="1"/>
      <c r="D7" s="1">
        <v>0.17399999999999999</v>
      </c>
      <c r="E7" s="1"/>
      <c r="F7" s="1">
        <v>0.14000000000000001</v>
      </c>
      <c r="G7" s="1">
        <v>0.17199999999999999</v>
      </c>
    </row>
    <row r="9" spans="1:15" x14ac:dyDescent="0.2">
      <c r="A9" t="s">
        <v>32</v>
      </c>
    </row>
    <row r="10" spans="1:15" x14ac:dyDescent="0.2">
      <c r="A10" t="s">
        <v>2</v>
      </c>
      <c r="F10" s="1">
        <v>0.23599999999999999</v>
      </c>
      <c r="G10" s="1">
        <v>0.28899999999999998</v>
      </c>
    </row>
    <row r="11" spans="1:15" x14ac:dyDescent="0.2">
      <c r="A11" t="s">
        <v>3</v>
      </c>
      <c r="C11">
        <v>0.16900000000000001</v>
      </c>
      <c r="F11" s="1">
        <v>0.16700000000000001</v>
      </c>
      <c r="G11" s="1">
        <v>0.20399999999999999</v>
      </c>
    </row>
    <row r="12" spans="1:15" x14ac:dyDescent="0.2">
      <c r="A12" t="s">
        <v>4</v>
      </c>
      <c r="F12" s="1">
        <v>0.14799999999999999</v>
      </c>
      <c r="G12" s="1">
        <v>0.182</v>
      </c>
    </row>
    <row r="13" spans="1:15" x14ac:dyDescent="0.2">
      <c r="A13" t="s">
        <v>5</v>
      </c>
      <c r="F13" s="1">
        <v>0.14000000000000001</v>
      </c>
      <c r="G13" s="1">
        <v>0.17199999999999999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JW06_baroclinic_wave</vt:lpstr>
      <vt:lpstr>Mountain Rossby waves</vt:lpstr>
      <vt:lpstr>modons</vt:lpstr>
      <vt:lpstr>acid test</vt:lpstr>
      <vt:lpstr>DCMIP2016 baroclinic wave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Andrews, Timothy</dc:creator>
  <cp:lastModifiedBy>Andrews, Timothy</cp:lastModifiedBy>
  <dcterms:created xsi:type="dcterms:W3CDTF">2025-02-25T15:19:15Z</dcterms:created>
  <dcterms:modified xsi:type="dcterms:W3CDTF">2025-04-16T20:49:52Z</dcterms:modified>
</cp:coreProperties>
</file>